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CAPEX" sheetId="2" r:id="rId6"/>
    <sheet state="visible" name="Costo_Materia_Prima" sheetId="3" r:id="rId7"/>
    <sheet state="visible" name="OPEX_Mensual" sheetId="4" r:id="rId8"/>
    <sheet state="visible" name="Pricing_PuntoEquilibrio" sheetId="5" r:id="rId9"/>
    <sheet state="visible" name="Proyeccion_12M" sheetId="6" r:id="rId10"/>
  </sheets>
  <definedNames/>
  <calcPr/>
</workbook>
</file>

<file path=xl/sharedStrings.xml><?xml version="1.0" encoding="utf-8"?>
<sst xmlns="http://schemas.openxmlformats.org/spreadsheetml/2006/main" count="107" uniqueCount="103">
  <si>
    <t>Fase 3 — Modelo financiero: heladería italiana en Medellín</t>
  </si>
  <si>
    <t>Cómo está montado este libro:</t>
  </si>
  <si>
    <t>1. CAPEX: inversión inicial. La mantecadora ya viene con tu dato real. Rellena en amarillo el resto.</t>
  </si>
  <si>
    <t>2. Costo_Materia_Prima: parte de tu coste real de Giotto (4€/litro) y lo ajusta a Colombia.</t>
  </si>
  <si>
    <t>3. OPEX_Mensual: gastos fijos mensuales del negocio. Rellena en amarillo.</t>
  </si>
  <si>
    <t>4. Pricing_PuntoEquilibrio: aquí defines el precio de venta y ves cuántas bolas/mes necesitas vender para no perder dinero.</t>
  </si>
  <si>
    <t>5. Proyeccion_12M: con todo lo anterior, proyecta 12 meses en 3 escenarios (conservador/realista/optimista).</t>
  </si>
  <si>
    <t>Todo lo amarillo lo rellenas tú. Todo lo blanco con fórmulas (letra negra) se calcula solo — no lo toques.</t>
  </si>
  <si>
    <t>El tipo de cambio EUR/COP es editable en Costo_Materia_Prima por si cambia mucho con el tiempo.</t>
  </si>
  <si>
    <t>Inversión inicial (CAPEX) — en COP</t>
  </si>
  <si>
    <t>Concepto</t>
  </si>
  <si>
    <t>Costo estimado (COP)</t>
  </si>
  <si>
    <t>Fuente / Nota</t>
  </si>
  <si>
    <t>Mantecadora profesional (batch freezer)</t>
  </si>
  <si>
    <t>15.000€ x factor 1,40 (IVA+flete+seguro+agente aduanas) x 3.700 COP/€</t>
  </si>
  <si>
    <t>Abatidor de temperatura</t>
  </si>
  <si>
    <t>Pendiente de cotizar. Si se importa de España, aplica el mismo factor ~1,35-1,50 antes de convertir a COP</t>
  </si>
  <si>
    <t>Vitrina expositora (pozzetti)</t>
  </si>
  <si>
    <t>Pasteurizadora</t>
  </si>
  <si>
    <t>Cámara de conservación / congelador</t>
  </si>
  <si>
    <t>Pendiente de cotizar</t>
  </si>
  <si>
    <t>Acondicionamiento de local (obra + mobiliario)</t>
  </si>
  <si>
    <t>Estimado: 65 m² x ~2.000.000 COP/m² (acabado medio-alto, instalaciones incluidas)</t>
  </si>
  <si>
    <t>Licencias y trámites de apertura en Colombia</t>
  </si>
  <si>
    <t>Pendiente de investigar</t>
  </si>
  <si>
    <t>Capital de trabajo inicial (imprevistos, 1er mes)</t>
  </si>
  <si>
    <t>Sugerido: 1 mes de OPEX total</t>
  </si>
  <si>
    <t>TOTAL CAPEX</t>
  </si>
  <si>
    <t>Supuestos usados: tamaño de local 65 m² (estándar heladería italiana artesanal: 50-80 m²). Maquinaria importada de España: aplica factor 1,35-1,50 sobre el precio en euros ANTES de convertir a COP (cubre IVA 19%, flete+seguro, agente de aduanas; usa 1,35 si gestionas certificado de origen UE con arancel 0%, o hasta 1,50 sin él). Tipo de cambio usado: 3.700 COP/€.</t>
  </si>
  <si>
    <t>Costo de materia prima por litro — ajustado a Colombia</t>
  </si>
  <si>
    <t>Coste real de materia prima en Giotto (España)</t>
  </si>
  <si>
    <t>€/litro</t>
  </si>
  <si>
    <t>Tipo de cambio EUR/COP (editable)</t>
  </si>
  <si>
    <t>COP por 1€</t>
  </si>
  <si>
    <t>Coste base en COP/litro</t>
  </si>
  <si>
    <t>resultado: fila anterior x tipo de cambio</t>
  </si>
  <si>
    <t>Ajuste sabores 100% locales (fruta tropical, sin importación)</t>
  </si>
  <si>
    <t>% respecto al coste base</t>
  </si>
  <si>
    <t>Ajuste sabores premium europeos (con insumo importado: pistacho, avellana, chocolate)</t>
  </si>
  <si>
    <t>Coste sabores locales (COP/litro)</t>
  </si>
  <si>
    <t>calculado</t>
  </si>
  <si>
    <t>Coste sabores premium europeos (COP/litro)</t>
  </si>
  <si>
    <t>Mix de ventas asumido — % sabores locales</t>
  </si>
  <si>
    <t>%, ajusta según investigación de sabores (pregunta 2)</t>
  </si>
  <si>
    <t>Mix de ventas asumido — % sabores premium europeos</t>
  </si>
  <si>
    <t>% (debe sumar 100% con la anterior)</t>
  </si>
  <si>
    <t>COSTE PONDERADO PROMEDIO (COP/litro)</t>
  </si>
  <si>
    <t>calculado — este es el dato que alimenta el resto del modelo</t>
  </si>
  <si>
    <t>Nota: el % de mix local/premium debería salir de la investigación de sabores (pregunta 2 del proyecto). Por ahora es un supuesto de partida (60/40) que puedes ajustar cuando tengas esos datos.</t>
  </si>
  <si>
    <t>Gastos fijos mensuales (OPEX) — en COP</t>
  </si>
  <si>
    <t>Costo mensual (COP)</t>
  </si>
  <si>
    <t>Nota</t>
  </si>
  <si>
    <t>Alquiler del local (Medellín)</t>
  </si>
  <si>
    <t>Usa el dato que ya recolectaste en Costo_Local del scorecard</t>
  </si>
  <si>
    <t>Personal (nº empleados x salario + prestaciones)</t>
  </si>
  <si>
    <t>Colombia: recuerda incluir prestaciones sociales (~50% adicional al salario base)</t>
  </si>
  <si>
    <t>Servicios (agua, luz, gas)</t>
  </si>
  <si>
    <t>Estimar según tamaño de local</t>
  </si>
  <si>
    <t>Marketing y redes sociales</t>
  </si>
  <si>
    <t>Puede empezar bajo y crecer con el negocio</t>
  </si>
  <si>
    <t>Insumos no alimentarios (vasos, cucharitas, servilletas)</t>
  </si>
  <si>
    <t>Estimar % sobre ventas o fijo mensual</t>
  </si>
  <si>
    <t>Otros gastos fijos (seguros, contabilidad, software)</t>
  </si>
  <si>
    <t>Estimar</t>
  </si>
  <si>
    <t>TOTAL OPEX MENSUAL</t>
  </si>
  <si>
    <t xml:space="preserve">  </t>
  </si>
  <si>
    <t>Precio de venta y punto de equilibrio</t>
  </si>
  <si>
    <t>Litros por bola de helado (estándar ~0.09-0.11L)</t>
  </si>
  <si>
    <t>ajusta según tu tamaño real de bola</t>
  </si>
  <si>
    <t>Coste materia prima por bola (COP)</t>
  </si>
  <si>
    <t>resultado: coste ponderado x litros/bola</t>
  </si>
  <si>
    <t>Precio de venta (PVP) por bola (COP)</t>
  </si>
  <si>
    <t>ajústalo según poder adquisitivo de Medellín (ver Scorecard)</t>
  </si>
  <si>
    <t>Margen bruto por bola (COP)</t>
  </si>
  <si>
    <t>PVP - coste materia prima</t>
  </si>
  <si>
    <t>Food cost % (coste / PVP)</t>
  </si>
  <si>
    <t>referencia típica heladería: 25-30%</t>
  </si>
  <si>
    <t>Costos fijos mensuales (OPEX total)</t>
  </si>
  <si>
    <t>traído automáticamente de OPEX_Mensual</t>
  </si>
  <si>
    <t>Punto de equilibrio (bolas/mes)</t>
  </si>
  <si>
    <t>costos fijos / margen bruto por bola</t>
  </si>
  <si>
    <t>Punto de equilibrio (bolas/día, 30 días/mes)</t>
  </si>
  <si>
    <t>punto de equilibrio mensual / 30</t>
  </si>
  <si>
    <t>Proyección a 12 meses — 3 escenarios</t>
  </si>
  <si>
    <t>Bolas vendidas por día — supuesto de partida por escenario (x veces el punto de equilibrio diario)</t>
  </si>
  <si>
    <t>Escenario</t>
  </si>
  <si>
    <t>Multiplicador vs. punto de equilibrio</t>
  </si>
  <si>
    <t>Bolas/día resultante</t>
  </si>
  <si>
    <t>Conservador</t>
  </si>
  <si>
    <t>Realista</t>
  </si>
  <si>
    <t>Optimista</t>
  </si>
  <si>
    <t>Detalle mensual (12 meses) — cambia el escenario en la celda de abajo</t>
  </si>
  <si>
    <t>Escenario a proyectar:</t>
  </si>
  <si>
    <t>optimista</t>
  </si>
  <si>
    <t>Mes</t>
  </si>
  <si>
    <t>Bolas vendidas</t>
  </si>
  <si>
    <t>Ingresos (COP)</t>
  </si>
  <si>
    <t>Coste materia prima (COP)</t>
  </si>
  <si>
    <t>Margen bruto (COP)</t>
  </si>
  <si>
    <t>OPEX (COP)</t>
  </si>
  <si>
    <t>Resultado mensual (COP)</t>
  </si>
  <si>
    <t>Resultado acumulado (COP)</t>
  </si>
  <si>
    <t>Cambia la celda 'Escenario a proyectar' (Conservador/Realista/Optimista) para ver cómo cambia toda la tabla. El mes en que el 'Resultado acumulado' se vuelve positivo es, aproximadamente, cuándo recuperas la inversión (CAPEX) — compáralo con el total de la pestaña CAPEX.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</si>
</sst>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0.0%"/>
    <numFmt numFmtId="166" formatCode="0.0"/>
  </numFmts>
  <fonts count="14">
    <font>
      <sz val="11.0"/>
      <color theme="1"/>
      <name val="Calibri"/>
      <scheme val="minor"/>
    </font>
    <font>
      <b/>
      <sz val="13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i/>
      <sz val="9.0"/>
      <color rgb="FF666666"/>
      <name val="Arial"/>
    </font>
    <font>
      <color theme="1"/>
      <name val="Arial"/>
    </font>
    <font>
      <color rgb="FF0000FF"/>
      <name val="Arial"/>
    </font>
    <font>
      <sz val="11.0"/>
      <color theme="1"/>
      <name val="Calibri"/>
    </font>
    <font>
      <sz val="11.0"/>
      <color rgb="FF000000"/>
      <name val="Arial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2CC"/>
        <bgColor rgb="FFFFF2CC"/>
      </patternFill>
    </fill>
    <fill>
      <patternFill patternType="solid">
        <fgColor rgb="FFD9E7ED"/>
        <bgColor rgb="FFD9E7E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3" fontId="7" numFmtId="164" xfId="0" applyAlignment="1" applyBorder="1" applyFill="1" applyFont="1" applyNumberForma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1" fillId="4" fontId="3" numFmtId="0" xfId="0" applyAlignment="1" applyBorder="1" applyFill="1" applyFont="1">
      <alignment shrinkToFit="0" vertical="bottom" wrapText="0"/>
    </xf>
    <xf borderId="1" fillId="4" fontId="3" numFmtId="3" xfId="0" applyAlignment="1" applyBorder="1" applyFont="1" applyNumberFormat="1">
      <alignment shrinkToFit="0" vertical="bottom" wrapText="0"/>
    </xf>
    <xf borderId="1" fillId="4" fontId="11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top" wrapText="1"/>
    </xf>
    <xf borderId="1" fillId="0" fontId="6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0" fontId="12" numFmtId="3" xfId="0" applyAlignment="1" applyBorder="1" applyFont="1" applyNumberFormat="1">
      <alignment shrinkToFit="0" vertical="bottom" wrapText="0"/>
    </xf>
    <xf borderId="1" fillId="4" fontId="3" numFmtId="0" xfId="0" applyAlignment="1" applyBorder="1" applyFont="1">
      <alignment shrinkToFit="0" vertical="bottom" wrapText="1"/>
    </xf>
    <xf borderId="1" fillId="3" fontId="7" numFmtId="0" xfId="0" applyAlignment="1" applyBorder="1" applyFont="1">
      <alignment readingOrder="0" shrinkToFit="0" vertical="bottom" wrapText="0"/>
    </xf>
    <xf borderId="1" fillId="0" fontId="12" numFmtId="165" xfId="0" applyAlignment="1" applyBorder="1" applyFont="1" applyNumberFormat="1">
      <alignment shrinkToFit="0" vertical="bottom" wrapText="0"/>
    </xf>
    <xf borderId="1" fillId="4" fontId="6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0"/>
    </xf>
    <xf borderId="1" fillId="3" fontId="7" numFmtId="166" xfId="0" applyAlignment="1" applyBorder="1" applyFont="1" applyNumberFormat="1">
      <alignment readingOrder="0" shrinkToFit="0" vertical="bottom" wrapText="0"/>
    </xf>
    <xf borderId="2" fillId="3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2">
      <c r="B2" s="1" t="s">
        <v>0</v>
      </c>
    </row>
    <row r="4">
      <c r="B4" s="2"/>
    </row>
    <row r="5">
      <c r="B5" s="3" t="s">
        <v>1</v>
      </c>
    </row>
    <row r="6">
      <c r="B6" s="2" t="s">
        <v>2</v>
      </c>
    </row>
    <row r="7">
      <c r="B7" s="2" t="s">
        <v>3</v>
      </c>
    </row>
    <row r="8">
      <c r="B8" s="2" t="s">
        <v>4</v>
      </c>
    </row>
    <row r="9">
      <c r="B9" s="2" t="s">
        <v>5</v>
      </c>
    </row>
    <row r="10">
      <c r="B10" s="2" t="s">
        <v>6</v>
      </c>
    </row>
    <row r="11">
      <c r="B11" s="2"/>
    </row>
    <row r="12">
      <c r="B12" s="2" t="s">
        <v>7</v>
      </c>
    </row>
    <row r="13">
      <c r="B13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20.0"/>
    <col customWidth="1" min="4" max="4" width="55.0"/>
    <col customWidth="1" min="5" max="26" width="8.71"/>
  </cols>
  <sheetData>
    <row r="1">
      <c r="A1" s="4">
        <v>59.0</v>
      </c>
    </row>
    <row r="2">
      <c r="B2" s="1" t="s">
        <v>9</v>
      </c>
    </row>
    <row r="4">
      <c r="B4" s="5" t="s">
        <v>10</v>
      </c>
      <c r="C4" s="5" t="s">
        <v>11</v>
      </c>
      <c r="D4" s="5" t="s">
        <v>12</v>
      </c>
    </row>
    <row r="5">
      <c r="B5" s="6" t="s">
        <v>13</v>
      </c>
      <c r="C5" s="7">
        <v>7.77E7</v>
      </c>
      <c r="D5" s="8" t="s">
        <v>14</v>
      </c>
    </row>
    <row r="6">
      <c r="B6" s="6" t="s">
        <v>15</v>
      </c>
      <c r="C6" s="9">
        <v>7851000.0</v>
      </c>
      <c r="D6" s="8" t="s">
        <v>16</v>
      </c>
    </row>
    <row r="7">
      <c r="B7" s="6" t="s">
        <v>17</v>
      </c>
      <c r="C7" s="9">
        <v>5.96E7</v>
      </c>
      <c r="D7" s="8" t="s">
        <v>16</v>
      </c>
    </row>
    <row r="8">
      <c r="B8" s="10" t="s">
        <v>18</v>
      </c>
      <c r="C8" s="11">
        <v>6.7374E7</v>
      </c>
    </row>
    <row r="9">
      <c r="B9" s="6" t="s">
        <v>19</v>
      </c>
      <c r="C9" s="9">
        <v>1.4E7</v>
      </c>
      <c r="D9" s="8" t="s">
        <v>20</v>
      </c>
    </row>
    <row r="10">
      <c r="B10" s="6" t="s">
        <v>21</v>
      </c>
      <c r="C10" s="7">
        <v>1.3E8</v>
      </c>
      <c r="D10" s="8" t="s">
        <v>22</v>
      </c>
    </row>
    <row r="11">
      <c r="B11" s="6" t="s">
        <v>23</v>
      </c>
      <c r="C11" s="9">
        <v>3000000.0</v>
      </c>
      <c r="D11" s="8" t="s">
        <v>24</v>
      </c>
    </row>
    <row r="12">
      <c r="B12" s="6" t="s">
        <v>25</v>
      </c>
      <c r="C12" s="9">
        <v>1.55E7</v>
      </c>
      <c r="D12" s="8" t="s">
        <v>26</v>
      </c>
    </row>
    <row r="13">
      <c r="B13" s="12" t="s">
        <v>27</v>
      </c>
      <c r="C13" s="13">
        <f>SUM(C5:C12)</f>
        <v>375025000</v>
      </c>
      <c r="D13" s="14"/>
    </row>
    <row r="15" ht="15.0" customHeight="1">
      <c r="B15" s="15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D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4" width="3.0"/>
    <col customWidth="1" min="5" max="5" width="16.0"/>
    <col customWidth="1" min="6" max="6" width="45.0"/>
    <col customWidth="1" min="7" max="26" width="8.71"/>
  </cols>
  <sheetData>
    <row r="2">
      <c r="B2" s="1" t="s">
        <v>29</v>
      </c>
    </row>
    <row r="5">
      <c r="B5" s="16" t="s">
        <v>30</v>
      </c>
      <c r="E5" s="17">
        <v>4.0</v>
      </c>
      <c r="F5" s="18" t="s">
        <v>31</v>
      </c>
    </row>
    <row r="6">
      <c r="B6" s="16" t="s">
        <v>32</v>
      </c>
      <c r="E6" s="17">
        <v>3700.0</v>
      </c>
      <c r="F6" s="18" t="s">
        <v>33</v>
      </c>
    </row>
    <row r="7">
      <c r="B7" s="16" t="s">
        <v>34</v>
      </c>
      <c r="E7" s="19">
        <f>E5*E6</f>
        <v>14800</v>
      </c>
      <c r="F7" s="18" t="s">
        <v>35</v>
      </c>
    </row>
    <row r="9">
      <c r="B9" s="16" t="s">
        <v>36</v>
      </c>
      <c r="E9" s="17">
        <v>-15.0</v>
      </c>
      <c r="F9" s="18" t="s">
        <v>37</v>
      </c>
    </row>
    <row r="10">
      <c r="B10" s="16" t="s">
        <v>38</v>
      </c>
      <c r="E10" s="17">
        <v>30.0</v>
      </c>
      <c r="F10" s="18" t="s">
        <v>37</v>
      </c>
    </row>
    <row r="11">
      <c r="B11" s="16" t="s">
        <v>39</v>
      </c>
      <c r="E11" s="19">
        <f>E7*(1+E9/100)</f>
        <v>12580</v>
      </c>
      <c r="F11" s="18" t="s">
        <v>40</v>
      </c>
    </row>
    <row r="12">
      <c r="B12" s="16" t="s">
        <v>41</v>
      </c>
      <c r="E12" s="19">
        <f>E7*(1+E10/100)</f>
        <v>19240</v>
      </c>
      <c r="F12" s="18" t="s">
        <v>40</v>
      </c>
    </row>
    <row r="14">
      <c r="B14" s="16" t="s">
        <v>42</v>
      </c>
      <c r="E14" s="17">
        <v>60.0</v>
      </c>
      <c r="F14" s="18" t="s">
        <v>43</v>
      </c>
    </row>
    <row r="15">
      <c r="B15" s="16" t="s">
        <v>44</v>
      </c>
      <c r="E15" s="17">
        <v>40.0</v>
      </c>
      <c r="F15" s="18" t="s">
        <v>45</v>
      </c>
    </row>
    <row r="16">
      <c r="B16" s="20" t="s">
        <v>46</v>
      </c>
      <c r="E16" s="13">
        <f>E11*E14/100+E12*E15/100</f>
        <v>15244</v>
      </c>
      <c r="F16" s="18" t="s">
        <v>47</v>
      </c>
    </row>
    <row r="18">
      <c r="B18" s="18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8:F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5.0"/>
    <col customWidth="1" min="3" max="3" width="20.0"/>
    <col customWidth="1" min="4" max="4" width="55.0"/>
    <col customWidth="1" min="5" max="26" width="8.71"/>
  </cols>
  <sheetData>
    <row r="2">
      <c r="B2" s="1" t="s">
        <v>49</v>
      </c>
    </row>
    <row r="4">
      <c r="B4" s="5" t="s">
        <v>10</v>
      </c>
      <c r="C4" s="5" t="s">
        <v>50</v>
      </c>
      <c r="D4" s="5" t="s">
        <v>51</v>
      </c>
    </row>
    <row r="5">
      <c r="B5" s="16" t="s">
        <v>52</v>
      </c>
      <c r="C5" s="9">
        <v>4000000.0</v>
      </c>
      <c r="D5" s="18" t="s">
        <v>53</v>
      </c>
    </row>
    <row r="6">
      <c r="B6" s="16" t="s">
        <v>54</v>
      </c>
      <c r="C6" s="9">
        <v>6000000.0</v>
      </c>
      <c r="D6" s="18" t="s">
        <v>55</v>
      </c>
    </row>
    <row r="7">
      <c r="B7" s="16" t="s">
        <v>56</v>
      </c>
      <c r="C7" s="9">
        <v>3000000.0</v>
      </c>
      <c r="D7" s="18" t="s">
        <v>57</v>
      </c>
    </row>
    <row r="8">
      <c r="B8" s="16" t="s">
        <v>58</v>
      </c>
      <c r="C8" s="9">
        <v>0.0</v>
      </c>
      <c r="D8" s="18" t="s">
        <v>59</v>
      </c>
    </row>
    <row r="9">
      <c r="B9" s="16" t="s">
        <v>60</v>
      </c>
      <c r="C9" s="9">
        <v>2000000.0</v>
      </c>
      <c r="D9" s="18" t="s">
        <v>61</v>
      </c>
    </row>
    <row r="10">
      <c r="B10" s="16" t="s">
        <v>62</v>
      </c>
      <c r="C10" s="9">
        <v>500000.0</v>
      </c>
      <c r="D10" s="18" t="s">
        <v>63</v>
      </c>
    </row>
    <row r="12">
      <c r="B12" s="12" t="s">
        <v>64</v>
      </c>
      <c r="C12" s="13">
        <f>SUM(C5:C10)</f>
        <v>15500000</v>
      </c>
      <c r="D12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4" width="3.0"/>
    <col customWidth="1" min="5" max="5" width="16.0"/>
    <col customWidth="1" min="6" max="6" width="45.0"/>
    <col customWidth="1" min="7" max="26" width="8.71"/>
  </cols>
  <sheetData>
    <row r="1">
      <c r="A1" s="4" t="s">
        <v>65</v>
      </c>
    </row>
    <row r="2">
      <c r="B2" s="1" t="s">
        <v>66</v>
      </c>
    </row>
    <row r="5">
      <c r="B5" s="16" t="s">
        <v>67</v>
      </c>
      <c r="E5" s="21">
        <v>0.08</v>
      </c>
      <c r="F5" s="18" t="s">
        <v>68</v>
      </c>
    </row>
    <row r="6">
      <c r="B6" s="16" t="s">
        <v>69</v>
      </c>
      <c r="E6" s="19">
        <f>Costo_Materia_Prima!$E$16*E5</f>
        <v>1219.52</v>
      </c>
      <c r="F6" s="18" t="s">
        <v>70</v>
      </c>
    </row>
    <row r="7">
      <c r="B7" s="16" t="s">
        <v>71</v>
      </c>
      <c r="E7" s="21">
        <v>11900.0</v>
      </c>
      <c r="F7" s="18" t="s">
        <v>72</v>
      </c>
    </row>
    <row r="8">
      <c r="B8" s="16" t="s">
        <v>73</v>
      </c>
      <c r="E8" s="19">
        <f>E7-E6</f>
        <v>10680.48</v>
      </c>
      <c r="F8" s="18" t="s">
        <v>74</v>
      </c>
    </row>
    <row r="9">
      <c r="B9" s="16" t="s">
        <v>75</v>
      </c>
      <c r="E9" s="22">
        <f>E6/E7</f>
        <v>0.1024806723</v>
      </c>
      <c r="F9" s="18" t="s">
        <v>76</v>
      </c>
    </row>
    <row r="10">
      <c r="B10" s="16" t="s">
        <v>77</v>
      </c>
      <c r="E10" s="19">
        <f>OPEX_Mensual!$C$12</f>
        <v>15500000</v>
      </c>
      <c r="F10" s="18" t="s">
        <v>78</v>
      </c>
    </row>
    <row r="11">
      <c r="B11" s="23" t="s">
        <v>79</v>
      </c>
      <c r="E11" s="13">
        <f>E10/E8</f>
        <v>1451.245637</v>
      </c>
      <c r="F11" s="18" t="s">
        <v>80</v>
      </c>
    </row>
    <row r="12">
      <c r="B12" s="23" t="s">
        <v>81</v>
      </c>
      <c r="E12" s="13">
        <f>E11/30</f>
        <v>48.37485456</v>
      </c>
      <c r="F12" s="18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71"/>
    <col customWidth="1" min="3" max="3" width="23.14"/>
    <col customWidth="1" min="4" max="4" width="16.0"/>
    <col customWidth="1" min="5" max="5" width="20.0"/>
    <col customWidth="1" min="6" max="6" width="16.0"/>
    <col customWidth="1" min="7" max="7" width="14.0"/>
    <col customWidth="1" min="8" max="8" width="20.0"/>
    <col customWidth="1" min="9" max="9" width="71.0"/>
    <col customWidth="1" min="10" max="26" width="8.71"/>
  </cols>
  <sheetData>
    <row r="2">
      <c r="B2" s="1" t="s">
        <v>83</v>
      </c>
    </row>
    <row r="4">
      <c r="B4" s="24" t="s">
        <v>84</v>
      </c>
    </row>
    <row r="6">
      <c r="B6" s="5" t="s">
        <v>85</v>
      </c>
      <c r="C6" s="5" t="s">
        <v>86</v>
      </c>
      <c r="D6" s="5" t="s">
        <v>87</v>
      </c>
    </row>
    <row r="7">
      <c r="B7" s="6" t="s">
        <v>88</v>
      </c>
      <c r="C7" s="25">
        <v>1.0</v>
      </c>
      <c r="D7" s="19">
        <f>Pricing_PuntoEquilibrio!$E$12*C7</f>
        <v>48.37485456</v>
      </c>
    </row>
    <row r="8">
      <c r="B8" s="6" t="s">
        <v>89</v>
      </c>
      <c r="C8" s="25">
        <v>2.1</v>
      </c>
      <c r="D8" s="19">
        <f>Pricing_PuntoEquilibrio!$E$12*C8</f>
        <v>101.5871946</v>
      </c>
    </row>
    <row r="9">
      <c r="B9" s="6" t="s">
        <v>90</v>
      </c>
      <c r="C9" s="25">
        <v>3.0</v>
      </c>
      <c r="D9" s="19">
        <f>Pricing_PuntoEquilibrio!$E$12*C9</f>
        <v>145.1245637</v>
      </c>
    </row>
    <row r="11">
      <c r="B11" s="3" t="s">
        <v>91</v>
      </c>
    </row>
    <row r="12">
      <c r="B12" s="3" t="s">
        <v>92</v>
      </c>
      <c r="C12" s="26" t="s">
        <v>93</v>
      </c>
    </row>
    <row r="14">
      <c r="B14" s="5" t="s">
        <v>94</v>
      </c>
      <c r="C14" s="5" t="s">
        <v>95</v>
      </c>
      <c r="D14" s="5" t="s">
        <v>96</v>
      </c>
      <c r="E14" s="5" t="s">
        <v>97</v>
      </c>
      <c r="F14" s="5" t="s">
        <v>98</v>
      </c>
      <c r="G14" s="5" t="s">
        <v>99</v>
      </c>
      <c r="H14" s="5" t="s">
        <v>100</v>
      </c>
      <c r="I14" s="5" t="s">
        <v>101</v>
      </c>
    </row>
    <row r="15">
      <c r="B15" s="6">
        <v>1.0</v>
      </c>
      <c r="C15" s="19">
        <f t="shared" ref="C15:C26" si="1">INDEX($D$7:$D$9,MATCH($C$12,$B$7:$B$9,0))*30</f>
        <v>4353.736911</v>
      </c>
      <c r="D15" s="19">
        <f>C15*Pricing_PuntoEquilibrio!$E$7</f>
        <v>51809469.24</v>
      </c>
      <c r="E15" s="19">
        <f>C15*Pricing_PuntoEquilibrio!$E$6</f>
        <v>5309469.237</v>
      </c>
      <c r="F15" s="19">
        <f t="shared" ref="F15:F26" si="2">D15-E15</f>
        <v>46500000</v>
      </c>
      <c r="G15" s="19">
        <f>OPEX_Mensual!$C$12</f>
        <v>15500000</v>
      </c>
      <c r="H15" s="19">
        <f t="shared" ref="H15:H26" si="3">F15-G15</f>
        <v>31000000</v>
      </c>
      <c r="I15" s="19">
        <f>H15</f>
        <v>31000000</v>
      </c>
    </row>
    <row r="16">
      <c r="B16" s="6">
        <v>2.0</v>
      </c>
      <c r="C16" s="19">
        <f t="shared" si="1"/>
        <v>4353.736911</v>
      </c>
      <c r="D16" s="19">
        <f>C16*Pricing_PuntoEquilibrio!$E$7</f>
        <v>51809469.24</v>
      </c>
      <c r="E16" s="19">
        <f>C16*Pricing_PuntoEquilibrio!$E$6</f>
        <v>5309469.237</v>
      </c>
      <c r="F16" s="19">
        <f t="shared" si="2"/>
        <v>46500000</v>
      </c>
      <c r="G16" s="19">
        <f>OPEX_Mensual!$C$12</f>
        <v>15500000</v>
      </c>
      <c r="H16" s="19">
        <f t="shared" si="3"/>
        <v>31000000</v>
      </c>
      <c r="I16" s="19">
        <f t="shared" ref="I16:I26" si="4">I15+H16</f>
        <v>62000000</v>
      </c>
    </row>
    <row r="17">
      <c r="B17" s="6">
        <v>3.0</v>
      </c>
      <c r="C17" s="19">
        <f t="shared" si="1"/>
        <v>4353.736911</v>
      </c>
      <c r="D17" s="19">
        <f>C17*Pricing_PuntoEquilibrio!$E$7</f>
        <v>51809469.24</v>
      </c>
      <c r="E17" s="19">
        <f>C17*Pricing_PuntoEquilibrio!$E$6</f>
        <v>5309469.237</v>
      </c>
      <c r="F17" s="19">
        <f t="shared" si="2"/>
        <v>46500000</v>
      </c>
      <c r="G17" s="19">
        <f>OPEX_Mensual!$C$12</f>
        <v>15500000</v>
      </c>
      <c r="H17" s="19">
        <f t="shared" si="3"/>
        <v>31000000</v>
      </c>
      <c r="I17" s="19">
        <f t="shared" si="4"/>
        <v>93000000</v>
      </c>
    </row>
    <row r="18">
      <c r="B18" s="6">
        <v>4.0</v>
      </c>
      <c r="C18" s="19">
        <f t="shared" si="1"/>
        <v>4353.736911</v>
      </c>
      <c r="D18" s="19">
        <f>C18*Pricing_PuntoEquilibrio!$E$7</f>
        <v>51809469.24</v>
      </c>
      <c r="E18" s="19">
        <f>C18*Pricing_PuntoEquilibrio!$E$6</f>
        <v>5309469.237</v>
      </c>
      <c r="F18" s="19">
        <f t="shared" si="2"/>
        <v>46500000</v>
      </c>
      <c r="G18" s="19">
        <f>OPEX_Mensual!$C$12</f>
        <v>15500000</v>
      </c>
      <c r="H18" s="19">
        <f t="shared" si="3"/>
        <v>31000000</v>
      </c>
      <c r="I18" s="19">
        <f t="shared" si="4"/>
        <v>124000000</v>
      </c>
    </row>
    <row r="19">
      <c r="B19" s="6">
        <v>5.0</v>
      </c>
      <c r="C19" s="19">
        <f t="shared" si="1"/>
        <v>4353.736911</v>
      </c>
      <c r="D19" s="19">
        <f>C19*Pricing_PuntoEquilibrio!$E$7</f>
        <v>51809469.24</v>
      </c>
      <c r="E19" s="19">
        <f>C19*Pricing_PuntoEquilibrio!$E$6</f>
        <v>5309469.237</v>
      </c>
      <c r="F19" s="19">
        <f t="shared" si="2"/>
        <v>46500000</v>
      </c>
      <c r="G19" s="19">
        <f>OPEX_Mensual!$C$12</f>
        <v>15500000</v>
      </c>
      <c r="H19" s="19">
        <f t="shared" si="3"/>
        <v>31000000</v>
      </c>
      <c r="I19" s="19">
        <f t="shared" si="4"/>
        <v>155000000</v>
      </c>
    </row>
    <row r="20">
      <c r="B20" s="6">
        <v>6.0</v>
      </c>
      <c r="C20" s="19">
        <f t="shared" si="1"/>
        <v>4353.736911</v>
      </c>
      <c r="D20" s="19">
        <f>C20*Pricing_PuntoEquilibrio!$E$7</f>
        <v>51809469.24</v>
      </c>
      <c r="E20" s="19">
        <f>C20*Pricing_PuntoEquilibrio!$E$6</f>
        <v>5309469.237</v>
      </c>
      <c r="F20" s="19">
        <f t="shared" si="2"/>
        <v>46500000</v>
      </c>
      <c r="G20" s="19">
        <f>OPEX_Mensual!$C$12</f>
        <v>15500000</v>
      </c>
      <c r="H20" s="19">
        <f t="shared" si="3"/>
        <v>31000000</v>
      </c>
      <c r="I20" s="19">
        <f t="shared" si="4"/>
        <v>186000000</v>
      </c>
    </row>
    <row r="21" ht="15.75" customHeight="1">
      <c r="B21" s="6">
        <v>7.0</v>
      </c>
      <c r="C21" s="19">
        <f t="shared" si="1"/>
        <v>4353.736911</v>
      </c>
      <c r="D21" s="19">
        <f>C21*Pricing_PuntoEquilibrio!$E$7</f>
        <v>51809469.24</v>
      </c>
      <c r="E21" s="19">
        <f>C21*Pricing_PuntoEquilibrio!$E$6</f>
        <v>5309469.237</v>
      </c>
      <c r="F21" s="19">
        <f t="shared" si="2"/>
        <v>46500000</v>
      </c>
      <c r="G21" s="19">
        <f>OPEX_Mensual!$C$12</f>
        <v>15500000</v>
      </c>
      <c r="H21" s="19">
        <f t="shared" si="3"/>
        <v>31000000</v>
      </c>
      <c r="I21" s="19">
        <f t="shared" si="4"/>
        <v>217000000</v>
      </c>
    </row>
    <row r="22" ht="15.75" customHeight="1">
      <c r="B22" s="6">
        <v>8.0</v>
      </c>
      <c r="C22" s="19">
        <f t="shared" si="1"/>
        <v>4353.736911</v>
      </c>
      <c r="D22" s="19">
        <f>C22*Pricing_PuntoEquilibrio!$E$7</f>
        <v>51809469.24</v>
      </c>
      <c r="E22" s="19">
        <f>C22*Pricing_PuntoEquilibrio!$E$6</f>
        <v>5309469.237</v>
      </c>
      <c r="F22" s="19">
        <f t="shared" si="2"/>
        <v>46500000</v>
      </c>
      <c r="G22" s="19">
        <f>OPEX_Mensual!$C$12</f>
        <v>15500000</v>
      </c>
      <c r="H22" s="19">
        <f t="shared" si="3"/>
        <v>31000000</v>
      </c>
      <c r="I22" s="19">
        <f t="shared" si="4"/>
        <v>248000000</v>
      </c>
    </row>
    <row r="23" ht="15.75" customHeight="1">
      <c r="B23" s="6">
        <v>9.0</v>
      </c>
      <c r="C23" s="19">
        <f t="shared" si="1"/>
        <v>4353.736911</v>
      </c>
      <c r="D23" s="19">
        <f>C23*Pricing_PuntoEquilibrio!$E$7</f>
        <v>51809469.24</v>
      </c>
      <c r="E23" s="19">
        <f>C23*Pricing_PuntoEquilibrio!$E$6</f>
        <v>5309469.237</v>
      </c>
      <c r="F23" s="19">
        <f t="shared" si="2"/>
        <v>46500000</v>
      </c>
      <c r="G23" s="19">
        <f>OPEX_Mensual!$C$12</f>
        <v>15500000</v>
      </c>
      <c r="H23" s="19">
        <f t="shared" si="3"/>
        <v>31000000</v>
      </c>
      <c r="I23" s="19">
        <f t="shared" si="4"/>
        <v>279000000</v>
      </c>
    </row>
    <row r="24" ht="15.75" customHeight="1">
      <c r="B24" s="6">
        <v>10.0</v>
      </c>
      <c r="C24" s="19">
        <f t="shared" si="1"/>
        <v>4353.736911</v>
      </c>
      <c r="D24" s="19">
        <f>C24*Pricing_PuntoEquilibrio!$E$7</f>
        <v>51809469.24</v>
      </c>
      <c r="E24" s="19">
        <f>C24*Pricing_PuntoEquilibrio!$E$6</f>
        <v>5309469.237</v>
      </c>
      <c r="F24" s="19">
        <f t="shared" si="2"/>
        <v>46500000</v>
      </c>
      <c r="G24" s="19">
        <f>OPEX_Mensual!$C$12</f>
        <v>15500000</v>
      </c>
      <c r="H24" s="19">
        <f t="shared" si="3"/>
        <v>31000000</v>
      </c>
      <c r="I24" s="19">
        <f t="shared" si="4"/>
        <v>310000000</v>
      </c>
    </row>
    <row r="25" ht="15.75" customHeight="1">
      <c r="B25" s="6">
        <v>11.0</v>
      </c>
      <c r="C25" s="19">
        <f t="shared" si="1"/>
        <v>4353.736911</v>
      </c>
      <c r="D25" s="19">
        <f>C25*Pricing_PuntoEquilibrio!$E$7</f>
        <v>51809469.24</v>
      </c>
      <c r="E25" s="19">
        <f>C25*Pricing_PuntoEquilibrio!$E$6</f>
        <v>5309469.237</v>
      </c>
      <c r="F25" s="19">
        <f t="shared" si="2"/>
        <v>46500000</v>
      </c>
      <c r="G25" s="19">
        <f>OPEX_Mensual!$C$12</f>
        <v>15500000</v>
      </c>
      <c r="H25" s="19">
        <f t="shared" si="3"/>
        <v>31000000</v>
      </c>
      <c r="I25" s="19">
        <f t="shared" si="4"/>
        <v>341000000</v>
      </c>
    </row>
    <row r="26" ht="15.75" customHeight="1">
      <c r="B26" s="6">
        <v>12.0</v>
      </c>
      <c r="C26" s="19">
        <f t="shared" si="1"/>
        <v>4353.736911</v>
      </c>
      <c r="D26" s="19">
        <f>C26*Pricing_PuntoEquilibrio!$E$7</f>
        <v>51809469.24</v>
      </c>
      <c r="E26" s="19">
        <f>C26*Pricing_PuntoEquilibrio!$E$6</f>
        <v>5309469.237</v>
      </c>
      <c r="F26" s="19">
        <f t="shared" si="2"/>
        <v>46500000</v>
      </c>
      <c r="G26" s="19">
        <f>OPEX_Mensual!$C$12</f>
        <v>15500000</v>
      </c>
      <c r="H26" s="19">
        <f t="shared" si="3"/>
        <v>31000000</v>
      </c>
      <c r="I26" s="19">
        <f t="shared" si="4"/>
        <v>372000000</v>
      </c>
    </row>
    <row r="27" ht="15.75" customHeight="1"/>
    <row r="28" ht="15.75" customHeight="1">
      <c r="B28" s="18" t="s">
        <v>102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H4"/>
    <mergeCell ref="B28:I28"/>
  </mergeCells>
  <printOptions/>
  <pageMargins bottom="1.0" footer="0.0" header="0.0" left="0.75" right="0.75" top="1.0"/>
  <pageSetup paperSize="9" orientation="portrait"/>
  <drawing r:id="rId1"/>
</worksheet>
</file>