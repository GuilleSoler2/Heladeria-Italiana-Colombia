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CAPEX" sheetId="2" state="visible" r:id="rId4"/>
    <sheet name="Costo_Materia_Prima" sheetId="3" state="visible" r:id="rId5"/>
    <sheet name="OPEX_Mensual" sheetId="4" state="visible" r:id="rId6"/>
    <sheet name="Pricing_PuntoEquilibrio" sheetId="5" state="visible" r:id="rId7"/>
    <sheet name="Proyeccion_12M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<sst xmlns="http://schemas.openxmlformats.org/spreadsheetml/2006/main" count="105" uniqueCount="100">
  <si>
    <t xml:space="preserve">Fase 3 — Modelo financiero: heladería italiana en Medellín</t>
  </si>
  <si>
    <t xml:space="preserve">Cómo está montado este libro:</t>
  </si>
  <si>
    <t xml:space="preserve">1. CAPEX: inversión inicial. La mantecadora ya viene con tu dato real. Rellena en amarillo el resto.</t>
  </si>
  <si>
    <t xml:space="preserve">2. Costo_Materia_Prima: parte de tu coste real de Giotto (4€/litro) y lo ajusta a Colombia.</t>
  </si>
  <si>
    <t xml:space="preserve">3. OPEX_Mensual: gastos fijos mensuales del negocio. Rellena en amarillo.</t>
  </si>
  <si>
    <t xml:space="preserve">4. Pricing_PuntoEquilibrio: aquí defines el precio de venta y ves cuántas bolas/mes necesitas vender para no perder dinero.</t>
  </si>
  <si>
    <t xml:space="preserve">5. Proyeccion_12M: con todo lo anterior, proyecta 12 meses en 3 escenarios (conservador/realista/optimista).</t>
  </si>
  <si>
    <t xml:space="preserve">Todo lo amarillo lo rellenas tú. Todo lo blanco con fórmulas (letra negra) se calcula solo — no lo toques.</t>
  </si>
  <si>
    <t xml:space="preserve">El tipo de cambio EUR/COP es editable en Costo_Materia_Prima por si cambia mucho con el tiempo.</t>
  </si>
  <si>
    <t xml:space="preserve">Inversión inicial (CAPEX) — en COP</t>
  </si>
  <si>
    <t xml:space="preserve">Concepto</t>
  </si>
  <si>
    <t xml:space="preserve">Costo estimado (COP)</t>
  </si>
  <si>
    <t xml:space="preserve">Fuente / Nota</t>
  </si>
  <si>
    <t xml:space="preserve">Mantecadora profesional (batch freezer)</t>
  </si>
  <si>
    <t xml:space="preserve">15.000€ x factor 1,40 (IVA+flete+seguro+agente aduanas) x 3.700 COP/€</t>
  </si>
  <si>
    <t xml:space="preserve">Abatidor de temperatura</t>
  </si>
  <si>
    <t xml:space="preserve">Pendiente de cotizar. Si se importa de España, aplica el mismo factor ~1,35-1,50 antes de convertir a COP</t>
  </si>
  <si>
    <t xml:space="preserve">Vitrina expositora (pozzetti)</t>
  </si>
  <si>
    <t xml:space="preserve">Cámara de conservación / congelador</t>
  </si>
  <si>
    <t xml:space="preserve">Pendiente de cotizar</t>
  </si>
  <si>
    <t xml:space="preserve">Acondicionamiento de local (obra + mobiliario)</t>
  </si>
  <si>
    <t xml:space="preserve">Estimado: 65 m² x ~2.000.000 COP/m² (acabado medio-alto, instalaciones incluidas)</t>
  </si>
  <si>
    <t xml:space="preserve">Licencias y trámites de apertura en Colombia</t>
  </si>
  <si>
    <t xml:space="preserve">Pendiente de investigar</t>
  </si>
  <si>
    <t xml:space="preserve">Capital de trabajo inicial (imprevistos, 1er mes)</t>
  </si>
  <si>
    <t xml:space="preserve">Sugerido: 1 mes de OPEX total</t>
  </si>
  <si>
    <t xml:space="preserve">TOTAL CAPEX</t>
  </si>
  <si>
    <t xml:space="preserve">Supuestos usados: tamaño de local 65 m² (estándar heladería italiana artesanal: 50-80 m²). Maquinaria importada de España: aplica factor 1,35-1,50 sobre el precio en euros ANTES de convertir a COP (cubre IVA 19%, flete+seguro, agente de aduanas; usa 1,35 si gestionas certificado de origen UE con arancel 0%, o hasta 1,50 sin él). Tipo de cambio usado: 3.700 COP/€.</t>
  </si>
  <si>
    <t xml:space="preserve">Costo de materia prima por litro — ajustado a Colombia</t>
  </si>
  <si>
    <t xml:space="preserve">Coste real de materia prima en Giotto (España)</t>
  </si>
  <si>
    <t xml:space="preserve">€/litro</t>
  </si>
  <si>
    <t xml:space="preserve">Tipo de cambio EUR/COP (editable)</t>
  </si>
  <si>
    <t xml:space="preserve">COP por 1€</t>
  </si>
  <si>
    <t xml:space="preserve">Coste base en COP/litro</t>
  </si>
  <si>
    <t xml:space="preserve">resultado: fila anterior x tipo de cambio</t>
  </si>
  <si>
    <t xml:space="preserve">Ajuste sabores 100% locales (fruta tropical, sin importación)</t>
  </si>
  <si>
    <t xml:space="preserve">% respecto al coste base</t>
  </si>
  <si>
    <t xml:space="preserve">Ajuste sabores premium europeos (con insumo importado: pistacho, avellana, chocolate)</t>
  </si>
  <si>
    <t xml:space="preserve">Coste sabores locales (COP/litro)</t>
  </si>
  <si>
    <t xml:space="preserve">calculado</t>
  </si>
  <si>
    <t xml:space="preserve">Coste sabores premium europeos (COP/litro)</t>
  </si>
  <si>
    <t xml:space="preserve">Mix de ventas asumido — % sabores locales</t>
  </si>
  <si>
    <t xml:space="preserve">%, ajusta según investigación de sabores (pregunta 2)</t>
  </si>
  <si>
    <t xml:space="preserve">Mix de ventas asumido — % sabores premium europeos</t>
  </si>
  <si>
    <t xml:space="preserve">% (debe sumar 100% con la anterior)</t>
  </si>
  <si>
    <t xml:space="preserve">COSTE PONDERADO PROMEDIO (COP/litro)</t>
  </si>
  <si>
    <t xml:space="preserve">calculado — este es el dato que alimenta el resto del modelo</t>
  </si>
  <si>
    <t xml:space="preserve">Nota: el % de mix local/premium debería salir de la investigación de sabores (pregunta 2 del proyecto). Por ahora es un supuesto de partida (60/40) que puedes ajustar cuando tengas esos datos.</t>
  </si>
  <si>
    <t xml:space="preserve">Gastos fijos mensuales (OPEX) — en COP</t>
  </si>
  <si>
    <t xml:space="preserve">Costo mensual (COP)</t>
  </si>
  <si>
    <t xml:space="preserve">Nota</t>
  </si>
  <si>
    <t xml:space="preserve">Alquiler del local (Medellín)</t>
  </si>
  <si>
    <t xml:space="preserve">Usa el dato que ya recolectaste en Costo_Local del scorecard</t>
  </si>
  <si>
    <t xml:space="preserve">Personal (nº empleados x salario + prestaciones)</t>
  </si>
  <si>
    <t xml:space="preserve">Colombia: recuerda incluir prestaciones sociales (~50% adicional al salario base)</t>
  </si>
  <si>
    <t xml:space="preserve">Servicios (agua, luz, gas)</t>
  </si>
  <si>
    <t xml:space="preserve">Estimar según tamaño de local</t>
  </si>
  <si>
    <t xml:space="preserve">Marketing y redes sociales</t>
  </si>
  <si>
    <t xml:space="preserve">Puede empezar bajo y crecer con el negocio</t>
  </si>
  <si>
    <t xml:space="preserve">Insumos no alimentarios (vasos, cucharitas, servilletas)</t>
  </si>
  <si>
    <t xml:space="preserve">Estimar % sobre ventas o fijo mensual</t>
  </si>
  <si>
    <t xml:space="preserve">Otros gastos fijos (seguros, contabilidad, software)</t>
  </si>
  <si>
    <t xml:space="preserve">Estimar</t>
  </si>
  <si>
    <t xml:space="preserve">TOTAL OPEX MENSUAL</t>
  </si>
  <si>
    <t xml:space="preserve">Precio de venta y punto de equilibrio</t>
  </si>
  <si>
    <t xml:space="preserve">Litros por bola de helado (estándar ~0.09-0.11L)</t>
  </si>
  <si>
    <t xml:space="preserve">ajusta según tu tamaño real de bola</t>
  </si>
  <si>
    <t xml:space="preserve">Coste materia prima por bola (COP)</t>
  </si>
  <si>
    <t xml:space="preserve">resultado: coste ponderado x litros/bola</t>
  </si>
  <si>
    <t xml:space="preserve">Precio de venta (PVP) por bola (COP)</t>
  </si>
  <si>
    <t xml:space="preserve">ajústalo según poder adquisitivo de Medellín (ver Scorecard)</t>
  </si>
  <si>
    <t xml:space="preserve">Margen bruto por bola (COP)</t>
  </si>
  <si>
    <t xml:space="preserve">PVP - coste materia prima</t>
  </si>
  <si>
    <t xml:space="preserve">Food cost % (coste / PVP)</t>
  </si>
  <si>
    <t xml:space="preserve">referencia típica heladería: 25-30%</t>
  </si>
  <si>
    <t xml:space="preserve">Costos fijos mensuales (OPEX total)</t>
  </si>
  <si>
    <t xml:space="preserve">traído automáticamente de OPEX_Mensual</t>
  </si>
  <si>
    <t xml:space="preserve">Punto de equilibrio (bolas/mes)</t>
  </si>
  <si>
    <t xml:space="preserve">costos fijos / margen bruto por bola</t>
  </si>
  <si>
    <t xml:space="preserve">Punto de equilibrio (bolas/día, 30 días/mes)</t>
  </si>
  <si>
    <t xml:space="preserve">punto de equilibrio mensual / 30</t>
  </si>
  <si>
    <t xml:space="preserve">Proyección a 12 meses — 3 escenarios</t>
  </si>
  <si>
    <t xml:space="preserve">Bolas vendidas por día — supuesto de partida por escenario (x veces el punto de equilibrio diario)</t>
  </si>
  <si>
    <t xml:space="preserve">Escenario</t>
  </si>
  <si>
    <t xml:space="preserve">Multiplicador vs. punto de equilibrio</t>
  </si>
  <si>
    <t xml:space="preserve">Bolas/día resultante</t>
  </si>
  <si>
    <t xml:space="preserve">Conservador</t>
  </si>
  <si>
    <t xml:space="preserve">Realista</t>
  </si>
  <si>
    <t xml:space="preserve">Optimista</t>
  </si>
  <si>
    <t xml:space="preserve">Detalle mensual (12 meses) — cambia el escenario en la celda de abajo</t>
  </si>
  <si>
    <t xml:space="preserve">Escenario a proyectar:</t>
  </si>
  <si>
    <t xml:space="preserve">Mes</t>
  </si>
  <si>
    <t xml:space="preserve">Bolas vendidas</t>
  </si>
  <si>
    <t xml:space="preserve">Ingresos (COP)</t>
  </si>
  <si>
    <t xml:space="preserve">Coste materia prima (COP)</t>
  </si>
  <si>
    <t xml:space="preserve">Margen bruto (COP)</t>
  </si>
  <si>
    <t xml:space="preserve">OPEX (COP)</t>
  </si>
  <si>
    <t xml:space="preserve">Resultado mensual (COP)</t>
  </si>
  <si>
    <t xml:space="preserve">Resultado acumulado (COP)</t>
  </si>
  <si>
    <t xml:space="preserve">Cambia la celda 'Escenario a proyectar' (Conservador/Realista/Optimista) para ver cómo cambia toda la tabla. El mes en que el 'Resultado acumulado' se vuelve positivo es, aproximadamente, cuándo recuperas la inversión (CAPEX) — compáralo con el total de la pestaña CAPEX.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</si>
</sst>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9E7ED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7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16.1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/>
    </row>
    <row r="5" customFormat="false" ht="15" hidden="false" customHeight="false" outlineLevel="0" collapsed="false">
      <c r="B5" s="3" t="s">
        <v>1</v>
      </c>
    </row>
    <row r="6" customFormat="false" ht="15" hidden="false" customHeight="false" outlineLevel="0" collapsed="false">
      <c r="B6" s="2" t="s">
        <v>2</v>
      </c>
    </row>
    <row r="7" customFormat="false" ht="15" hidden="false" customHeight="false" outlineLevel="0" collapsed="false">
      <c r="B7" s="2" t="s">
        <v>3</v>
      </c>
    </row>
    <row r="8" customFormat="false" ht="15" hidden="false" customHeight="false" outlineLevel="0" collapsed="false">
      <c r="B8" s="2" t="s">
        <v>4</v>
      </c>
    </row>
    <row r="9" customFormat="false" ht="15" hidden="false" customHeight="false" outlineLevel="0" collapsed="false">
      <c r="B9" s="2" t="s">
        <v>5</v>
      </c>
    </row>
    <row r="10" customFormat="false" ht="15" hidden="false" customHeight="false" outlineLevel="0" collapsed="false">
      <c r="B10" s="2" t="s">
        <v>6</v>
      </c>
    </row>
    <row r="11" customFormat="false" ht="15" hidden="false" customHeight="false" outlineLevel="0" collapsed="false">
      <c r="B11" s="2"/>
    </row>
    <row r="12" customFormat="false" ht="15" hidden="false" customHeight="false" outlineLevel="0" collapsed="false">
      <c r="B12" s="2" t="s">
        <v>7</v>
      </c>
    </row>
    <row r="13" customFormat="false" ht="15" hidden="false" customHeight="false" outlineLevel="0" collapsed="false">
      <c r="B13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4" min="4" style="0" width="55"/>
  </cols>
  <sheetData>
    <row r="2" customFormat="false" ht="16.15" hidden="false" customHeight="false" outlineLevel="0" collapsed="false">
      <c r="B2" s="1" t="s">
        <v>9</v>
      </c>
    </row>
    <row r="4" customFormat="false" ht="26.85" hidden="false" customHeight="false" outlineLevel="0" collapsed="false">
      <c r="B4" s="4" t="s">
        <v>10</v>
      </c>
      <c r="C4" s="4" t="s">
        <v>11</v>
      </c>
      <c r="D4" s="4" t="s">
        <v>12</v>
      </c>
    </row>
    <row r="5" customFormat="false" ht="15" hidden="false" customHeight="false" outlineLevel="0" collapsed="false">
      <c r="B5" s="5" t="s">
        <v>13</v>
      </c>
      <c r="C5" s="6" t="n">
        <v>77700000</v>
      </c>
      <c r="D5" s="7" t="s">
        <v>14</v>
      </c>
    </row>
    <row r="6" customFormat="false" ht="15" hidden="false" customHeight="false" outlineLevel="0" collapsed="false">
      <c r="B6" s="5" t="s">
        <v>15</v>
      </c>
      <c r="C6" s="8"/>
      <c r="D6" s="7" t="s">
        <v>16</v>
      </c>
    </row>
    <row r="7" customFormat="false" ht="15" hidden="false" customHeight="false" outlineLevel="0" collapsed="false">
      <c r="B7" s="5" t="s">
        <v>17</v>
      </c>
      <c r="C7" s="8"/>
      <c r="D7" s="7" t="s">
        <v>16</v>
      </c>
    </row>
    <row r="8" customFormat="false" ht="15" hidden="false" customHeight="false" outlineLevel="0" collapsed="false">
      <c r="B8" s="5" t="s">
        <v>18</v>
      </c>
      <c r="C8" s="8"/>
      <c r="D8" s="7" t="s">
        <v>19</v>
      </c>
    </row>
    <row r="9" customFormat="false" ht="15" hidden="false" customHeight="false" outlineLevel="0" collapsed="false">
      <c r="B9" s="5" t="s">
        <v>20</v>
      </c>
      <c r="C9" s="6" t="n">
        <v>130000000</v>
      </c>
      <c r="D9" s="7" t="s">
        <v>21</v>
      </c>
    </row>
    <row r="10" customFormat="false" ht="15" hidden="false" customHeight="false" outlineLevel="0" collapsed="false">
      <c r="B10" s="5" t="s">
        <v>22</v>
      </c>
      <c r="C10" s="8"/>
      <c r="D10" s="7" t="s">
        <v>23</v>
      </c>
    </row>
    <row r="11" customFormat="false" ht="15" hidden="false" customHeight="false" outlineLevel="0" collapsed="false">
      <c r="B11" s="5" t="s">
        <v>24</v>
      </c>
      <c r="C11" s="8"/>
      <c r="D11" s="7" t="s">
        <v>25</v>
      </c>
    </row>
    <row r="13" customFormat="false" ht="15" hidden="false" customHeight="false" outlineLevel="0" collapsed="false">
      <c r="B13" s="9" t="s">
        <v>26</v>
      </c>
      <c r="C13" s="10" t="n">
        <f aca="false">SUM(C5:C11)</f>
        <v>207700000</v>
      </c>
      <c r="D13" s="11"/>
    </row>
    <row r="15" customFormat="false" ht="15" hidden="false" customHeight="true" outlineLevel="0" collapsed="false">
      <c r="B15" s="12" t="s">
        <v>27</v>
      </c>
      <c r="C15" s="12"/>
      <c r="D15" s="12"/>
    </row>
    <row r="16" customFormat="false" ht="15" hidden="false" customHeight="false" outlineLevel="0" collapsed="false">
      <c r="B16" s="12"/>
      <c r="C16" s="12"/>
      <c r="D16" s="12"/>
    </row>
    <row r="17" customFormat="false" ht="15" hidden="false" customHeight="false" outlineLevel="0" collapsed="false">
      <c r="B17" s="12"/>
      <c r="C17" s="12"/>
      <c r="D17" s="12"/>
    </row>
  </sheetData>
  <mergeCells count="1">
    <mergeCell ref="B15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5"/>
    <col collapsed="false" customWidth="true" hidden="false" outlineLevel="0" max="4" min="3" style="0" width="3"/>
    <col collapsed="false" customWidth="true" hidden="false" outlineLevel="0" max="5" min="5" style="0" width="16"/>
    <col collapsed="false" customWidth="true" hidden="false" outlineLevel="0" max="6" min="6" style="0" width="45"/>
  </cols>
  <sheetData>
    <row r="2" customFormat="false" ht="16.15" hidden="false" customHeight="false" outlineLevel="0" collapsed="false">
      <c r="B2" s="1" t="s">
        <v>28</v>
      </c>
    </row>
    <row r="5" customFormat="false" ht="15" hidden="false" customHeight="false" outlineLevel="0" collapsed="false">
      <c r="B5" s="13" t="s">
        <v>29</v>
      </c>
      <c r="E5" s="14" t="n">
        <v>4</v>
      </c>
      <c r="F5" s="15" t="s">
        <v>30</v>
      </c>
    </row>
    <row r="6" customFormat="false" ht="15" hidden="false" customHeight="false" outlineLevel="0" collapsed="false">
      <c r="B6" s="13" t="s">
        <v>31</v>
      </c>
      <c r="E6" s="14" t="n">
        <v>3700</v>
      </c>
      <c r="F6" s="15" t="s">
        <v>32</v>
      </c>
    </row>
    <row r="7" customFormat="false" ht="15" hidden="false" customHeight="false" outlineLevel="0" collapsed="false">
      <c r="B7" s="13" t="s">
        <v>33</v>
      </c>
      <c r="E7" s="16" t="n">
        <f aca="false">E5*E6</f>
        <v>14800</v>
      </c>
      <c r="F7" s="15" t="s">
        <v>34</v>
      </c>
    </row>
    <row r="9" customFormat="false" ht="26.85" hidden="false" customHeight="false" outlineLevel="0" collapsed="false">
      <c r="B9" s="13" t="s">
        <v>35</v>
      </c>
      <c r="E9" s="14" t="n">
        <v>-15</v>
      </c>
      <c r="F9" s="15" t="s">
        <v>36</v>
      </c>
    </row>
    <row r="10" customFormat="false" ht="26.85" hidden="false" customHeight="false" outlineLevel="0" collapsed="false">
      <c r="B10" s="13" t="s">
        <v>37</v>
      </c>
      <c r="E10" s="14" t="n">
        <v>30</v>
      </c>
      <c r="F10" s="15" t="s">
        <v>36</v>
      </c>
    </row>
    <row r="11" customFormat="false" ht="15" hidden="false" customHeight="false" outlineLevel="0" collapsed="false">
      <c r="B11" s="13" t="s">
        <v>38</v>
      </c>
      <c r="E11" s="16" t="n">
        <f aca="false">E7*(1+E9/100)</f>
        <v>12580</v>
      </c>
      <c r="F11" s="15" t="s">
        <v>39</v>
      </c>
    </row>
    <row r="12" customFormat="false" ht="15" hidden="false" customHeight="false" outlineLevel="0" collapsed="false">
      <c r="B12" s="13" t="s">
        <v>40</v>
      </c>
      <c r="E12" s="16" t="n">
        <f aca="false">E7*(1+E10/100)</f>
        <v>19240</v>
      </c>
      <c r="F12" s="15" t="s">
        <v>39</v>
      </c>
    </row>
    <row r="14" customFormat="false" ht="15" hidden="false" customHeight="false" outlineLevel="0" collapsed="false">
      <c r="B14" s="13" t="s">
        <v>41</v>
      </c>
      <c r="E14" s="14" t="n">
        <v>60</v>
      </c>
      <c r="F14" s="15" t="s">
        <v>42</v>
      </c>
    </row>
    <row r="15" customFormat="false" ht="15" hidden="false" customHeight="false" outlineLevel="0" collapsed="false">
      <c r="B15" s="13" t="s">
        <v>43</v>
      </c>
      <c r="E15" s="14" t="n">
        <v>40</v>
      </c>
      <c r="F15" s="15" t="s">
        <v>44</v>
      </c>
    </row>
    <row r="16" customFormat="false" ht="15" hidden="false" customHeight="false" outlineLevel="0" collapsed="false">
      <c r="B16" s="17" t="s">
        <v>45</v>
      </c>
      <c r="E16" s="10" t="n">
        <f aca="false">E11*E14/100+E12*E15/100</f>
        <v>15244</v>
      </c>
      <c r="F16" s="15" t="s">
        <v>46</v>
      </c>
    </row>
    <row r="18" customFormat="false" ht="15" hidden="false" customHeight="false" outlineLevel="0" collapsed="false">
      <c r="B18" s="18" t="s">
        <v>47</v>
      </c>
      <c r="C18" s="18"/>
      <c r="D18" s="18"/>
      <c r="E18" s="18"/>
      <c r="F18" s="18"/>
    </row>
  </sheetData>
  <mergeCells count="1">
    <mergeCell ref="B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5"/>
    <col collapsed="false" customWidth="true" hidden="false" outlineLevel="0" max="3" min="3" style="0" width="20"/>
    <col collapsed="false" customWidth="true" hidden="false" outlineLevel="0" max="4" min="4" style="0" width="55"/>
  </cols>
  <sheetData>
    <row r="2" customFormat="false" ht="16.15" hidden="false" customHeight="false" outlineLevel="0" collapsed="false">
      <c r="B2" s="1" t="s">
        <v>48</v>
      </c>
    </row>
    <row r="4" customFormat="false" ht="26.85" hidden="false" customHeight="false" outlineLevel="0" collapsed="false">
      <c r="B4" s="4" t="s">
        <v>10</v>
      </c>
      <c r="C4" s="4" t="s">
        <v>49</v>
      </c>
      <c r="D4" s="4" t="s">
        <v>50</v>
      </c>
    </row>
    <row r="5" customFormat="false" ht="15" hidden="false" customHeight="false" outlineLevel="0" collapsed="false">
      <c r="B5" s="13" t="s">
        <v>51</v>
      </c>
      <c r="C5" s="8"/>
      <c r="D5" s="15" t="s">
        <v>52</v>
      </c>
    </row>
    <row r="6" customFormat="false" ht="26.85" hidden="false" customHeight="false" outlineLevel="0" collapsed="false">
      <c r="B6" s="13" t="s">
        <v>53</v>
      </c>
      <c r="C6" s="8"/>
      <c r="D6" s="15" t="s">
        <v>54</v>
      </c>
    </row>
    <row r="7" customFormat="false" ht="15" hidden="false" customHeight="false" outlineLevel="0" collapsed="false">
      <c r="B7" s="13" t="s">
        <v>55</v>
      </c>
      <c r="C7" s="8"/>
      <c r="D7" s="15" t="s">
        <v>56</v>
      </c>
    </row>
    <row r="8" customFormat="false" ht="15" hidden="false" customHeight="false" outlineLevel="0" collapsed="false">
      <c r="B8" s="13" t="s">
        <v>57</v>
      </c>
      <c r="C8" s="8"/>
      <c r="D8" s="15" t="s">
        <v>58</v>
      </c>
    </row>
    <row r="9" customFormat="false" ht="26.85" hidden="false" customHeight="false" outlineLevel="0" collapsed="false">
      <c r="B9" s="13" t="s">
        <v>59</v>
      </c>
      <c r="C9" s="8"/>
      <c r="D9" s="15" t="s">
        <v>60</v>
      </c>
    </row>
    <row r="10" customFormat="false" ht="26.85" hidden="false" customHeight="false" outlineLevel="0" collapsed="false">
      <c r="B10" s="13" t="s">
        <v>61</v>
      </c>
      <c r="C10" s="8"/>
      <c r="D10" s="15" t="s">
        <v>62</v>
      </c>
    </row>
    <row r="12" customFormat="false" ht="15" hidden="false" customHeight="false" outlineLevel="0" collapsed="false">
      <c r="B12" s="9" t="s">
        <v>63</v>
      </c>
      <c r="C12" s="10" t="n">
        <f aca="false">SUM(C5:C10)</f>
        <v>0</v>
      </c>
      <c r="D12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5"/>
    <col collapsed="false" customWidth="true" hidden="false" outlineLevel="0" max="4" min="3" style="0" width="3"/>
    <col collapsed="false" customWidth="true" hidden="false" outlineLevel="0" max="5" min="5" style="0" width="16"/>
    <col collapsed="false" customWidth="true" hidden="false" outlineLevel="0" max="6" min="6" style="0" width="45"/>
  </cols>
  <sheetData>
    <row r="2" customFormat="false" ht="16.15" hidden="false" customHeight="false" outlineLevel="0" collapsed="false">
      <c r="B2" s="1" t="s">
        <v>64</v>
      </c>
    </row>
    <row r="5" customFormat="false" ht="15" hidden="false" customHeight="false" outlineLevel="0" collapsed="false">
      <c r="B5" s="13" t="s">
        <v>65</v>
      </c>
      <c r="E5" s="14" t="n">
        <v>0.1</v>
      </c>
      <c r="F5" s="15" t="s">
        <v>66</v>
      </c>
    </row>
    <row r="6" customFormat="false" ht="15" hidden="false" customHeight="false" outlineLevel="0" collapsed="false">
      <c r="B6" s="13" t="s">
        <v>67</v>
      </c>
      <c r="E6" s="16" t="n">
        <f aca="false">Costo_Materia_Prima!$E$16*E5</f>
        <v>1524.4</v>
      </c>
      <c r="F6" s="15" t="s">
        <v>68</v>
      </c>
    </row>
    <row r="7" customFormat="false" ht="15" hidden="false" customHeight="false" outlineLevel="0" collapsed="false">
      <c r="B7" s="13" t="s">
        <v>69</v>
      </c>
      <c r="E7" s="14" t="n">
        <v>6000</v>
      </c>
      <c r="F7" s="15" t="s">
        <v>70</v>
      </c>
    </row>
    <row r="8" customFormat="false" ht="15" hidden="false" customHeight="false" outlineLevel="0" collapsed="false">
      <c r="B8" s="13" t="s">
        <v>71</v>
      </c>
      <c r="E8" s="16" t="n">
        <f aca="false">E7-E6</f>
        <v>4475.6</v>
      </c>
      <c r="F8" s="15" t="s">
        <v>72</v>
      </c>
    </row>
    <row r="9" customFormat="false" ht="15" hidden="false" customHeight="false" outlineLevel="0" collapsed="false">
      <c r="B9" s="13" t="s">
        <v>73</v>
      </c>
      <c r="E9" s="19" t="n">
        <f aca="false">E6/E7</f>
        <v>0.254066666666667</v>
      </c>
      <c r="F9" s="15" t="s">
        <v>74</v>
      </c>
    </row>
    <row r="10" customFormat="false" ht="15" hidden="false" customHeight="false" outlineLevel="0" collapsed="false">
      <c r="B10" s="13" t="s">
        <v>75</v>
      </c>
      <c r="E10" s="16" t="n">
        <f aca="false">OPEX_Mensual!$C$12</f>
        <v>0</v>
      </c>
      <c r="F10" s="15" t="s">
        <v>76</v>
      </c>
    </row>
    <row r="11" customFormat="false" ht="15" hidden="false" customHeight="false" outlineLevel="0" collapsed="false">
      <c r="B11" s="20" t="s">
        <v>77</v>
      </c>
      <c r="E11" s="10" t="n">
        <f aca="false">E10/E8</f>
        <v>0</v>
      </c>
      <c r="F11" s="15" t="s">
        <v>78</v>
      </c>
    </row>
    <row r="12" customFormat="false" ht="15" hidden="false" customHeight="false" outlineLevel="0" collapsed="false">
      <c r="B12" s="20" t="s">
        <v>79</v>
      </c>
      <c r="E12" s="10" t="n">
        <f aca="false">E11/30</f>
        <v>0</v>
      </c>
      <c r="F12" s="15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9" min="8" style="0" width="20"/>
  </cols>
  <sheetData>
    <row r="2" customFormat="false" ht="16.15" hidden="false" customHeight="false" outlineLevel="0" collapsed="false">
      <c r="B2" s="1" t="s">
        <v>81</v>
      </c>
    </row>
    <row r="4" customFormat="false" ht="15" hidden="false" customHeight="false" outlineLevel="0" collapsed="false">
      <c r="B4" s="21" t="s">
        <v>82</v>
      </c>
      <c r="C4" s="21"/>
      <c r="D4" s="21"/>
      <c r="E4" s="21"/>
      <c r="F4" s="21"/>
      <c r="G4" s="21"/>
      <c r="H4" s="21"/>
    </row>
    <row r="6" customFormat="false" ht="39.55" hidden="false" customHeight="false" outlineLevel="0" collapsed="false">
      <c r="B6" s="4" t="s">
        <v>83</v>
      </c>
      <c r="C6" s="4" t="s">
        <v>84</v>
      </c>
      <c r="D6" s="4" t="s">
        <v>85</v>
      </c>
    </row>
    <row r="7" customFormat="false" ht="15" hidden="false" customHeight="false" outlineLevel="0" collapsed="false">
      <c r="B7" s="5" t="s">
        <v>86</v>
      </c>
      <c r="C7" s="22" t="n">
        <v>0.8</v>
      </c>
      <c r="D7" s="16" t="n">
        <f aca="false">Pricing_PuntoEquilibrio!$E$12*C7</f>
        <v>0</v>
      </c>
    </row>
    <row r="8" customFormat="false" ht="15" hidden="false" customHeight="false" outlineLevel="0" collapsed="false">
      <c r="B8" s="5" t="s">
        <v>87</v>
      </c>
      <c r="C8" s="22" t="n">
        <v>1.3</v>
      </c>
      <c r="D8" s="16" t="n">
        <f aca="false">Pricing_PuntoEquilibrio!$E$12*C8</f>
        <v>0</v>
      </c>
    </row>
    <row r="9" customFormat="false" ht="15" hidden="false" customHeight="false" outlineLevel="0" collapsed="false">
      <c r="B9" s="5" t="s">
        <v>88</v>
      </c>
      <c r="C9" s="22" t="n">
        <v>1.8</v>
      </c>
      <c r="D9" s="16" t="n">
        <f aca="false">Pricing_PuntoEquilibrio!$E$12*C9</f>
        <v>0</v>
      </c>
    </row>
    <row r="11" customFormat="false" ht="15" hidden="false" customHeight="false" outlineLevel="0" collapsed="false">
      <c r="B11" s="3" t="s">
        <v>89</v>
      </c>
    </row>
    <row r="12" customFormat="false" ht="15" hidden="false" customHeight="false" outlineLevel="0" collapsed="false">
      <c r="B12" s="3" t="s">
        <v>90</v>
      </c>
      <c r="C12" s="23" t="s">
        <v>87</v>
      </c>
    </row>
    <row r="14" customFormat="false" ht="26.85" hidden="false" customHeight="false" outlineLevel="0" collapsed="false">
      <c r="B14" s="4" t="s">
        <v>91</v>
      </c>
      <c r="C14" s="4" t="s">
        <v>92</v>
      </c>
      <c r="D14" s="4" t="s">
        <v>93</v>
      </c>
      <c r="E14" s="4" t="s">
        <v>94</v>
      </c>
      <c r="F14" s="4" t="s">
        <v>95</v>
      </c>
      <c r="G14" s="4" t="s">
        <v>96</v>
      </c>
      <c r="H14" s="4" t="s">
        <v>97</v>
      </c>
      <c r="I14" s="4" t="s">
        <v>98</v>
      </c>
    </row>
    <row r="15" customFormat="false" ht="15" hidden="false" customHeight="false" outlineLevel="0" collapsed="false">
      <c r="B15" s="5" t="n">
        <v>1</v>
      </c>
      <c r="C15" s="16" t="n">
        <f aca="false">INDEX($D$7:$D$9,MATCH($C$12,$B$7:$B$9,0))*30</f>
        <v>0</v>
      </c>
      <c r="D15" s="16" t="n">
        <f aca="false">C15*Pricing_PuntoEquilibrio!$E$7</f>
        <v>0</v>
      </c>
      <c r="E15" s="16" t="n">
        <f aca="false">C15*Pricing_PuntoEquilibrio!$E$6</f>
        <v>0</v>
      </c>
      <c r="F15" s="16" t="n">
        <f aca="false">D15-E15</f>
        <v>0</v>
      </c>
      <c r="G15" s="16" t="n">
        <f aca="false">OPEX_Mensual!$C$12</f>
        <v>0</v>
      </c>
      <c r="H15" s="16" t="n">
        <f aca="false">F15-G15</f>
        <v>0</v>
      </c>
      <c r="I15" s="16" t="n">
        <f aca="false">H15</f>
        <v>0</v>
      </c>
    </row>
    <row r="16" customFormat="false" ht="15" hidden="false" customHeight="false" outlineLevel="0" collapsed="false">
      <c r="B16" s="5" t="n">
        <v>2</v>
      </c>
      <c r="C16" s="16" t="n">
        <f aca="false">INDEX($D$7:$D$9,MATCH($C$12,$B$7:$B$9,0))*30</f>
        <v>0</v>
      </c>
      <c r="D16" s="16" t="n">
        <f aca="false">C16*Pricing_PuntoEquilibrio!$E$7</f>
        <v>0</v>
      </c>
      <c r="E16" s="16" t="n">
        <f aca="false">C16*Pricing_PuntoEquilibrio!$E$6</f>
        <v>0</v>
      </c>
      <c r="F16" s="16" t="n">
        <f aca="false">D16-E16</f>
        <v>0</v>
      </c>
      <c r="G16" s="16" t="n">
        <f aca="false">OPEX_Mensual!$C$12</f>
        <v>0</v>
      </c>
      <c r="H16" s="16" t="n">
        <f aca="false">F16-G16</f>
        <v>0</v>
      </c>
      <c r="I16" s="16" t="n">
        <f aca="false">I15+H16</f>
        <v>0</v>
      </c>
    </row>
    <row r="17" customFormat="false" ht="15" hidden="false" customHeight="false" outlineLevel="0" collapsed="false">
      <c r="B17" s="5" t="n">
        <v>3</v>
      </c>
      <c r="C17" s="16" t="n">
        <f aca="false">INDEX($D$7:$D$9,MATCH($C$12,$B$7:$B$9,0))*30</f>
        <v>0</v>
      </c>
      <c r="D17" s="16" t="n">
        <f aca="false">C17*Pricing_PuntoEquilibrio!$E$7</f>
        <v>0</v>
      </c>
      <c r="E17" s="16" t="n">
        <f aca="false">C17*Pricing_PuntoEquilibrio!$E$6</f>
        <v>0</v>
      </c>
      <c r="F17" s="16" t="n">
        <f aca="false">D17-E17</f>
        <v>0</v>
      </c>
      <c r="G17" s="16" t="n">
        <f aca="false">OPEX_Mensual!$C$12</f>
        <v>0</v>
      </c>
      <c r="H17" s="16" t="n">
        <f aca="false">F17-G17</f>
        <v>0</v>
      </c>
      <c r="I17" s="16" t="n">
        <f aca="false">I16+H17</f>
        <v>0</v>
      </c>
    </row>
    <row r="18" customFormat="false" ht="15" hidden="false" customHeight="false" outlineLevel="0" collapsed="false">
      <c r="B18" s="5" t="n">
        <v>4</v>
      </c>
      <c r="C18" s="16" t="n">
        <f aca="false">INDEX($D$7:$D$9,MATCH($C$12,$B$7:$B$9,0))*30</f>
        <v>0</v>
      </c>
      <c r="D18" s="16" t="n">
        <f aca="false">C18*Pricing_PuntoEquilibrio!$E$7</f>
        <v>0</v>
      </c>
      <c r="E18" s="16" t="n">
        <f aca="false">C18*Pricing_PuntoEquilibrio!$E$6</f>
        <v>0</v>
      </c>
      <c r="F18" s="16" t="n">
        <f aca="false">D18-E18</f>
        <v>0</v>
      </c>
      <c r="G18" s="16" t="n">
        <f aca="false">OPEX_Mensual!$C$12</f>
        <v>0</v>
      </c>
      <c r="H18" s="16" t="n">
        <f aca="false">F18-G18</f>
        <v>0</v>
      </c>
      <c r="I18" s="16" t="n">
        <f aca="false">I17+H18</f>
        <v>0</v>
      </c>
    </row>
    <row r="19" customFormat="false" ht="15" hidden="false" customHeight="false" outlineLevel="0" collapsed="false">
      <c r="B19" s="5" t="n">
        <v>5</v>
      </c>
      <c r="C19" s="16" t="n">
        <f aca="false">INDEX($D$7:$D$9,MATCH($C$12,$B$7:$B$9,0))*30</f>
        <v>0</v>
      </c>
      <c r="D19" s="16" t="n">
        <f aca="false">C19*Pricing_PuntoEquilibrio!$E$7</f>
        <v>0</v>
      </c>
      <c r="E19" s="16" t="n">
        <f aca="false">C19*Pricing_PuntoEquilibrio!$E$6</f>
        <v>0</v>
      </c>
      <c r="F19" s="16" t="n">
        <f aca="false">D19-E19</f>
        <v>0</v>
      </c>
      <c r="G19" s="16" t="n">
        <f aca="false">OPEX_Mensual!$C$12</f>
        <v>0</v>
      </c>
      <c r="H19" s="16" t="n">
        <f aca="false">F19-G19</f>
        <v>0</v>
      </c>
      <c r="I19" s="16" t="n">
        <f aca="false">I18+H19</f>
        <v>0</v>
      </c>
    </row>
    <row r="20" customFormat="false" ht="15" hidden="false" customHeight="false" outlineLevel="0" collapsed="false">
      <c r="B20" s="5" t="n">
        <v>6</v>
      </c>
      <c r="C20" s="16" t="n">
        <f aca="false">INDEX($D$7:$D$9,MATCH($C$12,$B$7:$B$9,0))*30</f>
        <v>0</v>
      </c>
      <c r="D20" s="16" t="n">
        <f aca="false">C20*Pricing_PuntoEquilibrio!$E$7</f>
        <v>0</v>
      </c>
      <c r="E20" s="16" t="n">
        <f aca="false">C20*Pricing_PuntoEquilibrio!$E$6</f>
        <v>0</v>
      </c>
      <c r="F20" s="16" t="n">
        <f aca="false">D20-E20</f>
        <v>0</v>
      </c>
      <c r="G20" s="16" t="n">
        <f aca="false">OPEX_Mensual!$C$12</f>
        <v>0</v>
      </c>
      <c r="H20" s="16" t="n">
        <f aca="false">F20-G20</f>
        <v>0</v>
      </c>
      <c r="I20" s="16" t="n">
        <f aca="false">I19+H20</f>
        <v>0</v>
      </c>
    </row>
    <row r="21" customFormat="false" ht="15" hidden="false" customHeight="false" outlineLevel="0" collapsed="false">
      <c r="B21" s="5" t="n">
        <v>7</v>
      </c>
      <c r="C21" s="16" t="n">
        <f aca="false">INDEX($D$7:$D$9,MATCH($C$12,$B$7:$B$9,0))*30</f>
        <v>0</v>
      </c>
      <c r="D21" s="16" t="n">
        <f aca="false">C21*Pricing_PuntoEquilibrio!$E$7</f>
        <v>0</v>
      </c>
      <c r="E21" s="16" t="n">
        <f aca="false">C21*Pricing_PuntoEquilibrio!$E$6</f>
        <v>0</v>
      </c>
      <c r="F21" s="16" t="n">
        <f aca="false">D21-E21</f>
        <v>0</v>
      </c>
      <c r="G21" s="16" t="n">
        <f aca="false">OPEX_Mensual!$C$12</f>
        <v>0</v>
      </c>
      <c r="H21" s="16" t="n">
        <f aca="false">F21-G21</f>
        <v>0</v>
      </c>
      <c r="I21" s="16" t="n">
        <f aca="false">I20+H21</f>
        <v>0</v>
      </c>
    </row>
    <row r="22" customFormat="false" ht="15" hidden="false" customHeight="false" outlineLevel="0" collapsed="false">
      <c r="B22" s="5" t="n">
        <v>8</v>
      </c>
      <c r="C22" s="16" t="n">
        <f aca="false">INDEX($D$7:$D$9,MATCH($C$12,$B$7:$B$9,0))*30</f>
        <v>0</v>
      </c>
      <c r="D22" s="16" t="n">
        <f aca="false">C22*Pricing_PuntoEquilibrio!$E$7</f>
        <v>0</v>
      </c>
      <c r="E22" s="16" t="n">
        <f aca="false">C22*Pricing_PuntoEquilibrio!$E$6</f>
        <v>0</v>
      </c>
      <c r="F22" s="16" t="n">
        <f aca="false">D22-E22</f>
        <v>0</v>
      </c>
      <c r="G22" s="16" t="n">
        <f aca="false">OPEX_Mensual!$C$12</f>
        <v>0</v>
      </c>
      <c r="H22" s="16" t="n">
        <f aca="false">F22-G22</f>
        <v>0</v>
      </c>
      <c r="I22" s="16" t="n">
        <f aca="false">I21+H22</f>
        <v>0</v>
      </c>
    </row>
    <row r="23" customFormat="false" ht="15" hidden="false" customHeight="false" outlineLevel="0" collapsed="false">
      <c r="B23" s="5" t="n">
        <v>9</v>
      </c>
      <c r="C23" s="16" t="n">
        <f aca="false">INDEX($D$7:$D$9,MATCH($C$12,$B$7:$B$9,0))*30</f>
        <v>0</v>
      </c>
      <c r="D23" s="16" t="n">
        <f aca="false">C23*Pricing_PuntoEquilibrio!$E$7</f>
        <v>0</v>
      </c>
      <c r="E23" s="16" t="n">
        <f aca="false">C23*Pricing_PuntoEquilibrio!$E$6</f>
        <v>0</v>
      </c>
      <c r="F23" s="16" t="n">
        <f aca="false">D23-E23</f>
        <v>0</v>
      </c>
      <c r="G23" s="16" t="n">
        <f aca="false">OPEX_Mensual!$C$12</f>
        <v>0</v>
      </c>
      <c r="H23" s="16" t="n">
        <f aca="false">F23-G23</f>
        <v>0</v>
      </c>
      <c r="I23" s="16" t="n">
        <f aca="false">I22+H23</f>
        <v>0</v>
      </c>
    </row>
    <row r="24" customFormat="false" ht="15" hidden="false" customHeight="false" outlineLevel="0" collapsed="false">
      <c r="B24" s="5" t="n">
        <v>10</v>
      </c>
      <c r="C24" s="16" t="n">
        <f aca="false">INDEX($D$7:$D$9,MATCH($C$12,$B$7:$B$9,0))*30</f>
        <v>0</v>
      </c>
      <c r="D24" s="16" t="n">
        <f aca="false">C24*Pricing_PuntoEquilibrio!$E$7</f>
        <v>0</v>
      </c>
      <c r="E24" s="16" t="n">
        <f aca="false">C24*Pricing_PuntoEquilibrio!$E$6</f>
        <v>0</v>
      </c>
      <c r="F24" s="16" t="n">
        <f aca="false">D24-E24</f>
        <v>0</v>
      </c>
      <c r="G24" s="16" t="n">
        <f aca="false">OPEX_Mensual!$C$12</f>
        <v>0</v>
      </c>
      <c r="H24" s="16" t="n">
        <f aca="false">F24-G24</f>
        <v>0</v>
      </c>
      <c r="I24" s="16" t="n">
        <f aca="false">I23+H24</f>
        <v>0</v>
      </c>
    </row>
    <row r="25" customFormat="false" ht="15" hidden="false" customHeight="false" outlineLevel="0" collapsed="false">
      <c r="B25" s="5" t="n">
        <v>11</v>
      </c>
      <c r="C25" s="16" t="n">
        <f aca="false">INDEX($D$7:$D$9,MATCH($C$12,$B$7:$B$9,0))*30</f>
        <v>0</v>
      </c>
      <c r="D25" s="16" t="n">
        <f aca="false">C25*Pricing_PuntoEquilibrio!$E$7</f>
        <v>0</v>
      </c>
      <c r="E25" s="16" t="n">
        <f aca="false">C25*Pricing_PuntoEquilibrio!$E$6</f>
        <v>0</v>
      </c>
      <c r="F25" s="16" t="n">
        <f aca="false">D25-E25</f>
        <v>0</v>
      </c>
      <c r="G25" s="16" t="n">
        <f aca="false">OPEX_Mensual!$C$12</f>
        <v>0</v>
      </c>
      <c r="H25" s="16" t="n">
        <f aca="false">F25-G25</f>
        <v>0</v>
      </c>
      <c r="I25" s="16" t="n">
        <f aca="false">I24+H25</f>
        <v>0</v>
      </c>
    </row>
    <row r="26" customFormat="false" ht="15" hidden="false" customHeight="false" outlineLevel="0" collapsed="false">
      <c r="B26" s="5" t="n">
        <v>12</v>
      </c>
      <c r="C26" s="16" t="n">
        <f aca="false">INDEX($D$7:$D$9,MATCH($C$12,$B$7:$B$9,0))*30</f>
        <v>0</v>
      </c>
      <c r="D26" s="16" t="n">
        <f aca="false">C26*Pricing_PuntoEquilibrio!$E$7</f>
        <v>0</v>
      </c>
      <c r="E26" s="16" t="n">
        <f aca="false">C26*Pricing_PuntoEquilibrio!$E$6</f>
        <v>0</v>
      </c>
      <c r="F26" s="16" t="n">
        <f aca="false">D26-E26</f>
        <v>0</v>
      </c>
      <c r="G26" s="16" t="n">
        <f aca="false">OPEX_Mensual!$C$12</f>
        <v>0</v>
      </c>
      <c r="H26" s="16" t="n">
        <f aca="false">F26-G26</f>
        <v>0</v>
      </c>
      <c r="I26" s="16" t="n">
        <f aca="false">I25+H26</f>
        <v>0</v>
      </c>
    </row>
    <row r="28" customFormat="false" ht="15" hidden="false" customHeight="false" outlineLevel="0" collapsed="false">
      <c r="B28" s="18" t="s">
        <v>99</v>
      </c>
      <c r="C28" s="18"/>
      <c r="D28" s="18"/>
      <c r="E28" s="18"/>
      <c r="F28" s="18"/>
      <c r="G28" s="18"/>
      <c r="H28" s="18"/>
      <c r="I28" s="18"/>
    </row>
  </sheetData>
  <mergeCells count="2">
    <mergeCell ref="B4:H4"/>
    <mergeCell ref="B28:I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2026-07-12T20:31:56Z</dcterms:created>
  <dc:creator>openpyxl</dc:creator>
  <dc:description/>
  <dc:language>en-US</dc:language>
  <cp:lastModifiedBy/>
  <dcterms:modified xsi:type="dcterms:W3CDTF">2026-07-12T20:31:56Z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