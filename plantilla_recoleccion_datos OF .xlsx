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ma" sheetId="1" r:id="rId5"/>
    <sheet state="visible" name="Poder_Adquisitivo" sheetId="2" r:id="rId6"/>
    <sheet state="visible" name="Turismo" sheetId="3" r:id="rId7"/>
    <sheet state="visible" name="Costo_Local" sheetId="4" r:id="rId8"/>
    <sheet state="visible" name="Competencia" sheetId="5" r:id="rId9"/>
    <sheet state="visible" name="Consumo_Helado" sheetId="6" r:id="rId10"/>
    <sheet state="visible" name="Scorecard" sheetId="7" r:id="rId11"/>
  </sheets>
  <definedNames/>
  <calcPr/>
</workbook>
</file>

<file path=xl/sharedStrings.xml><?xml version="1.0" encoding="utf-8"?>
<sst xmlns="http://schemas.openxmlformats.org/spreadsheetml/2006/main" count="162" uniqueCount="67">
  <si>
    <t>Ciudad</t>
  </si>
  <si>
    <t>Temp. media anual
(°C)</t>
  </si>
  <si>
    <t>Puntuación (1-5)</t>
  </si>
  <si>
    <t>Fuente (link)</t>
  </si>
  <si>
    <t>Fecha consulta</t>
  </si>
  <si>
    <t>Bogotá</t>
  </si>
  <si>
    <t>IDEAM (via bogota.gov.co)</t>
  </si>
  <si>
    <t>2026-07-11</t>
  </si>
  <si>
    <t>Medellín</t>
  </si>
  <si>
    <t>Weather Spark (rango 16-26°C)</t>
  </si>
  <si>
    <t>Cali</t>
  </si>
  <si>
    <t>Clasificación climática MinVivienda (cálido seco)</t>
  </si>
  <si>
    <t>Barranquilla</t>
  </si>
  <si>
    <t>clima.com / clasificación cálido húmedo</t>
  </si>
  <si>
    <t>Cartagena</t>
  </si>
  <si>
    <t>Bucaramanga</t>
  </si>
  <si>
    <t>clima.com / clasificación cálido seco</t>
  </si>
  <si>
    <t>Pereira</t>
  </si>
  <si>
    <t>Clasificación climática MinVivienda (templado)</t>
  </si>
  <si>
    <t>Santa Marta</t>
  </si>
  <si>
    <t>% Incidencia pobreza monetaria (2025)
(%)</t>
  </si>
  <si>
    <t>DANE, Boletín Pobreza Monetaria 2025</t>
  </si>
  <si>
    <t>Proxy usado: % de incidencia de pobreza monetaria (DANE 2025). A MENOR pobreza, MEJOR poder adquisitivo — por eso la puntuación se calcula de forma invertida (higher_is_better=False). Si luego encuentras el ingreso promedio exacto por ciudad, puedes sustituir el valor y cambiar a higher_is_better=True.</t>
  </si>
  <si>
    <t>Turistas extranjeros / año
(personas/año)</t>
  </si>
  <si>
    <t>https://observatorio.idt.gov.co/publicaciones/investigacion-viajeros-en-bogota-2025</t>
  </si>
  <si>
    <t>https://www.turismomde.gov.co/</t>
  </si>
  <si>
    <t>https://pre-webunwto.s3.eu-west-1.amazonaws.com/s3fs-public/2026-05/2026%20Annual%20Report%20of%20Cali%20Tourism%20Observatory%20%E2%80%93%20SITUR%20Valle%20del%20Cauca%20(Data%202025)_Espa%C3%B1ol.pdf?VersionId=S00KXdX9gomqof6iXU9jhGLDgWEBGZbJ</t>
  </si>
  <si>
    <t>https://www.instagram.com/p/DVPdBF-CulF/</t>
  </si>
  <si>
    <t>https://www.cartagena.gov.co/noticias/corpoturismo-presento-exitoso-balance-promocion-cartagena-2025-55-millones-turistas-llegaron-este-ano</t>
  </si>
  <si>
    <t>Fuente sugerida: MinCIT, Migración Colombia, boletines COTELCO (ocupación hotelera).</t>
  </si>
  <si>
    <t>Precio arriendo local comercial
(COP/m²/mes)</t>
  </si>
  <si>
    <t>https://www.fincaraiz.com.co/arriendo/locales/bogota/bogota-dc</t>
  </si>
  <si>
    <t>https://www.properati.com.co/s/medellin-antioquia/local/arriendo</t>
  </si>
  <si>
    <t>https://www.fincaraiz.com.co/arriendo/locales/cali/valle-del-cauca</t>
  </si>
  <si>
    <t>https://www.properati.com.co/s/barranquilla-atlantico/local/arriendo</t>
  </si>
  <si>
    <t>https://www.properati.com.co/s/cartagena-bolivar/local/arriendo</t>
  </si>
  <si>
    <t>https://www.fincaraiz.com.co/arriendo/locales/bucaramanga/santander</t>
  </si>
  <si>
    <t>https://www.metrocuadrado.com/locales/arriendo/pereira/estrato-6</t>
  </si>
  <si>
    <t>https://www.properati.com.co/s/santa-marta/local/arriendo</t>
  </si>
  <si>
    <t>Fuente sugerida: Fincaraíz o Metrocuadrado. Toma la media de 5-10 anuncios en zona céntrica/comercial.</t>
  </si>
  <si>
    <t>Nº heladerías artesanales / gelato
(conteo)</t>
  </si>
  <si>
    <t>https://www.tripadvisor.es/Restaurants-g294074-zfd9899-Bogota-Ice_Cream.html</t>
  </si>
  <si>
    <t>https://www.tripadvisor.es/Restaurants-g297475-zfd9899-Cali_Valle_del_Cauca_Department-Ice_Cream.html</t>
  </si>
  <si>
    <t>https://www.tripadvisor.es/Restaurants-g297473-zfd9899-Barranquilla_Atlantico_Department-Ice_Cream.html</t>
  </si>
  <si>
    <t>https://www.tripadvisor.co/Restaurants-g3874559-zfd9899-Cartagena_District_Bolivar_Department-Ice_Cream.html</t>
  </si>
  <si>
    <t>https://www.tripadvisor.es/Search?q=heladeria+artesanales+bucaramanga&amp;geo=294074&amp;ssrc=a&amp;searchNearby=false&amp;searchSessionId=0006954c8fc5ecc4.ssid&amp;offset=0</t>
  </si>
  <si>
    <t>https://www.tripadvisor.es/Search?q=heladeria+artesanal+pereira&amp;geo=297475&amp;ssrc=a&amp;searchNearby=false&amp;searchSessionId=000727bad8736bc5.ssid&amp;offset=0</t>
  </si>
  <si>
    <t>https://www.tripadvisor.es/Restaurants-g297484-zfd9899-Santa_Marta_Santa_Marta_Municipality_Magdalena_Department-Ice_Cream.html</t>
  </si>
  <si>
    <t>Fuente sugerida: Google Maps, buscando 'heladería artesanal' / 'gelato' por ciudad. Excluye cadenas industriales.</t>
  </si>
  <si>
    <t>Puntos de venta de helado por 10.000 hab.
(proxy consumo)</t>
  </si>
  <si>
    <t>https://www.portafolio.co/negocios/empresas/los-hogares-protagonizan-la-evolucion-del-consumo-de-helado-en-el-pais-642581</t>
  </si>
  <si>
    <t>https://bibliotecadigital.udea.edu.co/bitstreams/b165fcc0-28dc-4ee9-ad8c-56fd1268bf41/download</t>
  </si>
  <si>
    <t>https://www.msd-salud-animal.com.co/colombianos-consumen-3-1-litros-de-helado-al-ano-por-persona/</t>
  </si>
  <si>
    <t>https://editorial.goula.lat/crece-venta-de-helado-de-yogurt-en-colombia-asi-conquistan-al-consumidor/</t>
  </si>
  <si>
    <t>https://www.google.com/search?q=cuanto+litros+de+helado+se+consumen+en+bucaramanga+durante+2025&amp;sca_esv=cbbe4593e2dc44d4&amp;biw=1366&amp;bih=641&amp;sxsrf=APpeQnuFzpR_ymZJ5X250HKTwujqnmjq2Q%3A1783775782008&amp;ei=JkJSasAGwIv27w_c9bTRBg&amp;ved=0ahUKEwjAseHO2sqVAxXAhf0HHdw6LWoQ4dUDCBA&amp;uact=5&amp;oq=cuanto+litros+de+helado+se+consumen+en+bucaramanga+durante+2025&amp;gs_lp=Egxnd3Mtd2l6LXNlcnAiP2N1YW50byBsaXRyb3MgZGUgaGVsYWRvIHNlIGNvbnN1bWVuIGVuIGJ1Y2FyYW1hbmdhIGR1cmFudGUgMjAyNUioIlAAWMIgcAB4AZABAJgB4gGgAecXqgEGMS4yMS4yuAEDyAEA-AEBmAIRoALmEcICBxAjGLACGCfCAgUQABjvBcICCBAAGIAEGKIEwgIEECEYCpgDAJIHBjEuMTUuMaAHlnKyBwYxLjE1LjG4B-YRwgcIMC4xLjMuMTPIB48BgAgB&amp;sclient=gws-wiz-serp</t>
  </si>
  <si>
    <t>https://www.infobae.com/colombia/2024/07/30/a-los-colombianos-les-gusta-comer-helado-con-3-litros-al-ano-por-persona-asi-crece-la-industria-heladera-en-el-pais/</t>
  </si>
  <si>
    <t>Proxy de consumo real (no hay dato oficial por ciudad). Cuenta en Google Maps TODOS los puntos de venta de helado (artesanales + industriales/cadenas) y divide por población/10.000. Si encuentras un informe con consumo per cápita real (Euromonitor, Fenalco), sustitúyelo por ese dato.</t>
  </si>
  <si>
    <t>Scorecard final — Puntuación ponderada por ciudad</t>
  </si>
  <si>
    <t>Consumo Helado (30%)</t>
  </si>
  <si>
    <t>Clima (20%)</t>
  </si>
  <si>
    <t>Poder Adq. (20%)</t>
  </si>
  <si>
    <t>Turismo (15%)</t>
  </si>
  <si>
    <t>Costo Local (10%)</t>
  </si>
  <si>
    <t>Competencia (5%)</t>
  </si>
  <si>
    <t>SCORE TOTAL</t>
  </si>
  <si>
    <t>Ranking</t>
  </si>
  <si>
    <t>La ciudad con SCORE TOTAL más alto (Ranking = 1) es la recomendada por el modelo. Recuerda documentar por qué en tu narrativa: los números apoyan la decisión, no la reemplazan.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</si>
</sst>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 $]#,##0"/>
  </numFmts>
  <fonts count="10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sz val="11.0"/>
      <color rgb="FF0000FF"/>
      <name val="Arial"/>
    </font>
    <font>
      <i/>
      <sz val="9.0"/>
      <color rgb="FF666666"/>
      <name val="Arial"/>
    </font>
    <font>
      <sz val="11.0"/>
      <color rgb="FF000000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b/>
      <sz val="13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5F"/>
        <bgColor rgb="FF1F4E5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0" fontId="5" numFmtId="2" xfId="0" applyAlignment="1" applyBorder="1" applyFont="1" applyNumberFormat="1">
      <alignment shrinkToFit="0" vertical="bottom" wrapText="0"/>
    </xf>
    <xf borderId="1" fillId="3" fontId="3" numFmtId="4" xfId="0" applyAlignment="1" applyBorder="1" applyFont="1" applyNumberFormat="1">
      <alignment readingOrder="0" shrinkToFit="0" vertical="bottom" wrapText="0"/>
    </xf>
    <xf borderId="1" fillId="3" fontId="6" numFmtId="0" xfId="0" applyAlignment="1" applyBorder="1" applyFont="1">
      <alignment readingOrder="0" shrinkToFit="0" vertical="bottom" wrapText="0"/>
    </xf>
    <xf borderId="1" fillId="3" fontId="7" numFmtId="0" xfId="0" applyAlignment="1" applyBorder="1" applyFont="1">
      <alignment readingOrder="0" shrinkToFit="0" vertical="bottom" wrapText="0"/>
    </xf>
    <xf borderId="1" fillId="3" fontId="3" numFmtId="164" xfId="0" applyAlignment="1" applyBorder="1" applyFont="1" applyNumberFormat="1">
      <alignment readingOrder="0" shrinkToFit="0" vertical="bottom" wrapText="0"/>
    </xf>
    <xf borderId="1" fillId="3" fontId="3" numFmtId="0" xfId="0" applyAlignment="1" applyBorder="1" applyFont="1">
      <alignment readingOrder="0" shrinkToFit="0" vertical="bottom" wrapText="0"/>
    </xf>
    <xf borderId="1" fillId="3" fontId="3" numFmtId="3" xfId="0" applyAlignment="1" applyBorder="1" applyFont="1" applyNumberForma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1" fillId="0" fontId="9" numFmtId="2" xfId="0" applyAlignment="1" applyBorder="1" applyFont="1" applyNumberFormat="1">
      <alignment shrinkToFit="0" vertical="bottom" wrapText="0"/>
    </xf>
    <xf borderId="1" fillId="0" fontId="9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bservatorio.idt.gov.co/publicaciones/investigacion-viajeros-en-bogota-2025" TargetMode="External"/><Relationship Id="rId2" Type="http://schemas.openxmlformats.org/officeDocument/2006/relationships/hyperlink" Target="https://www.turismomde.gov.co/" TargetMode="External"/><Relationship Id="rId3" Type="http://schemas.openxmlformats.org/officeDocument/2006/relationships/hyperlink" Target="https://pre-webunwto.s3.eu-west-1.amazonaws.com/s3fs-public/2026-05/2026%20Annual%20Report%20of%20Cali%20Tourism%20Observatory%20%E2%80%93%20SITUR%20Valle%20del%20Cauca%20(Data%202025)_Espa%C3%B1ol.pdf?VersionId=S00KXdX9gomqof6iXU9jhGLDgWEBGZbJ" TargetMode="External"/><Relationship Id="rId4" Type="http://schemas.openxmlformats.org/officeDocument/2006/relationships/hyperlink" Target="https://www.instagram.com/p/DVPdBF-CulF/" TargetMode="External"/><Relationship Id="rId5" Type="http://schemas.openxmlformats.org/officeDocument/2006/relationships/hyperlink" Target="https://www.cartagena.gov.co/noticias/corpoturismo-presento-exitoso-balance-promocion-cartagena-2025-55-millones-turistas-llegaron-este-ano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ncaraiz.com.co/arriendo/locales/bogota/bogota-dc" TargetMode="External"/><Relationship Id="rId2" Type="http://schemas.openxmlformats.org/officeDocument/2006/relationships/hyperlink" Target="https://www.properati.com.co/s/medellin-antioquia/local/arriendo" TargetMode="External"/><Relationship Id="rId3" Type="http://schemas.openxmlformats.org/officeDocument/2006/relationships/hyperlink" Target="https://www.fincaraiz.com.co/arriendo/locales/cali/valle-del-cauca" TargetMode="External"/><Relationship Id="rId4" Type="http://schemas.openxmlformats.org/officeDocument/2006/relationships/hyperlink" Target="https://www.properati.com.co/s/barranquilla-atlantico/local/arriendo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www.properati.com.co/s/cartagena-bolivar/local/arriendo" TargetMode="External"/><Relationship Id="rId6" Type="http://schemas.openxmlformats.org/officeDocument/2006/relationships/hyperlink" Target="https://www.fincaraiz.com.co/arriendo/locales/bucaramanga/santander" TargetMode="External"/><Relationship Id="rId7" Type="http://schemas.openxmlformats.org/officeDocument/2006/relationships/hyperlink" Target="https://www.metrocuadrado.com/locales/arriendo/pereira/estrato-6" TargetMode="External"/><Relationship Id="rId8" Type="http://schemas.openxmlformats.org/officeDocument/2006/relationships/hyperlink" Target="https://www.properati.com.co/s/santa-marta/local/arriendo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ripadvisor.es/Restaurants-g294074-zfd9899-Bogota-Ice_Cream.html" TargetMode="External"/><Relationship Id="rId2" Type="http://schemas.openxmlformats.org/officeDocument/2006/relationships/hyperlink" Target="https://www.tripadvisor.es/Restaurants-g297475-zfd9899-Cali_Valle_del_Cauca_Department-Ice_Cream.html" TargetMode="External"/><Relationship Id="rId3" Type="http://schemas.openxmlformats.org/officeDocument/2006/relationships/hyperlink" Target="https://www.tripadvisor.es/Restaurants-g297473-zfd9899-Barranquilla_Atlantico_Department-Ice_Cream.html" TargetMode="External"/><Relationship Id="rId4" Type="http://schemas.openxmlformats.org/officeDocument/2006/relationships/hyperlink" Target="https://www.tripadvisor.co/Restaurants-g3874559-zfd9899-Cartagena_District_Bolivar_Department-Ice_Cream.html" TargetMode="External"/><Relationship Id="rId5" Type="http://schemas.openxmlformats.org/officeDocument/2006/relationships/hyperlink" Target="https://www.tripadvisor.es/Search?q=heladeria+artesanales+bucaramanga&amp;geo=294074&amp;ssrc=a&amp;searchNearby=false&amp;searchSessionId=0006954c8fc5ecc4.ssid&amp;offset=0" TargetMode="External"/><Relationship Id="rId6" Type="http://schemas.openxmlformats.org/officeDocument/2006/relationships/hyperlink" Target="https://www.tripadvisor.es/Search?q=heladeria+artesanal+pereira&amp;geo=297475&amp;ssrc=a&amp;searchNearby=false&amp;searchSessionId=000727bad8736bc5.ssid&amp;offset=0" TargetMode="External"/><Relationship Id="rId7" Type="http://schemas.openxmlformats.org/officeDocument/2006/relationships/hyperlink" Target="https://www.tripadvisor.es/Restaurants-g297484-zfd9899-Santa_Marta_Santa_Marta_Municipality_Magdalena_Department-Ice_Cream.html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ortafolio.co/negocios/empresas/los-hogares-protagonizan-la-evolucion-del-consumo-de-helado-en-el-pais-642581" TargetMode="External"/><Relationship Id="rId2" Type="http://schemas.openxmlformats.org/officeDocument/2006/relationships/hyperlink" Target="https://bibliotecadigital.udea.edu.co/bitstreams/b165fcc0-28dc-4ee9-ad8c-56fd1268bf41/download" TargetMode="External"/><Relationship Id="rId3" Type="http://schemas.openxmlformats.org/officeDocument/2006/relationships/hyperlink" Target="https://www.msd-salud-animal.com.co/colombianos-consumen-3-1-litros-de-helado-al-ano-por-persona/" TargetMode="External"/><Relationship Id="rId4" Type="http://schemas.openxmlformats.org/officeDocument/2006/relationships/hyperlink" Target="https://editorial.goula.lat/crece-venta-de-helado-de-yogurt-en-colombia-asi-conquistan-al-consumidor/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www.msd-salud-animal.com.co/colombianos-consumen-3-1-litros-de-helado-al-ano-por-persona/" TargetMode="External"/><Relationship Id="rId6" Type="http://schemas.openxmlformats.org/officeDocument/2006/relationships/hyperlink" Target="https://www.google.com/search?q=cuanto+litros+de+helado+se+consumen+en+bucaramanga+durante+2025&amp;sca_esv=cbbe4593e2dc44d4&amp;biw=1366&amp;bih=641&amp;sxsrf=APpeQnuFzpR_ymZJ5X250HKTwujqnmjq2Q%3A1783775782008&amp;ei=JkJSasAGwIv27w_c9bTRBg&amp;ved=0ahUKEwjAseHO2sqVAxXAhf0HHdw6LWoQ4dUDCBA&amp;uact=5&amp;oq=cuanto+litros+de+helado+se+consumen+en+bucaramanga+durante+2025&amp;gs_lp=Egxnd3Mtd2l6LXNlcnAiP2N1YW50byBsaXRyb3MgZGUgaGVsYWRvIHNlIGNvbnN1bWVuIGVuIGJ1Y2FyYW1hbmdhIGR1cmFudGUgMjAyNUioIlAAWMIgcAB4AZABAJgB4gGgAecXqgEGMS4yMS4yuAEDyAEA-AEBmAIRoALmEcICBxAjGLACGCfCAgUQABjvBcICCBAAGIAEGKIEwgIEECEYCpgDAJIHBjEuMTUuMaAHlnKyBwYxLjE1LjG4B-YRwgcIMC4xLjMuMTPIB48BgAgB&amp;sclient=gws-wiz-serp" TargetMode="External"/><Relationship Id="rId7" Type="http://schemas.openxmlformats.org/officeDocument/2006/relationships/hyperlink" Target="https://www.msd-salud-animal.com.co/colombianos-consumen-3-1-litros-de-helado-al-ano-por-persona/" TargetMode="External"/><Relationship Id="rId8" Type="http://schemas.openxmlformats.org/officeDocument/2006/relationships/hyperlink" Target="https://www.infobae.com/colombia/2024/07/30/a-los-colombianos-les-gusta-comer-helado-con-3-litros-al-ano-por-persona-asi-crece-la-industria-heladera-en-el-pais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6.0"/>
    <col customWidth="1" min="3" max="3" width="14.0"/>
    <col customWidth="1" min="4" max="4" width="45.0"/>
    <col customWidth="1" min="5" max="5" width="14.0"/>
    <col customWidth="1" min="6" max="26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2" t="s">
        <v>5</v>
      </c>
      <c r="B3" s="3">
        <v>13.1</v>
      </c>
      <c r="C3" s="4">
        <v>1.0</v>
      </c>
      <c r="D3" s="3" t="s">
        <v>6</v>
      </c>
      <c r="E3" s="3" t="s">
        <v>7</v>
      </c>
    </row>
    <row r="4">
      <c r="A4" s="2" t="s">
        <v>8</v>
      </c>
      <c r="B4" s="3">
        <v>22.0</v>
      </c>
      <c r="C4" s="4">
        <v>4.5</v>
      </c>
      <c r="D4" s="3" t="s">
        <v>9</v>
      </c>
      <c r="E4" s="3" t="s">
        <v>7</v>
      </c>
    </row>
    <row r="5">
      <c r="A5" s="2" t="s">
        <v>10</v>
      </c>
      <c r="B5" s="3">
        <v>24.0</v>
      </c>
      <c r="C5" s="4">
        <v>4.0</v>
      </c>
      <c r="D5" s="3" t="s">
        <v>11</v>
      </c>
      <c r="E5" s="3" t="s">
        <v>7</v>
      </c>
    </row>
    <row r="6">
      <c r="A6" s="2" t="s">
        <v>12</v>
      </c>
      <c r="B6" s="3">
        <v>28.0</v>
      </c>
      <c r="C6" s="4">
        <v>3.5</v>
      </c>
      <c r="D6" s="3" t="s">
        <v>13</v>
      </c>
      <c r="E6" s="3" t="s">
        <v>7</v>
      </c>
    </row>
    <row r="7">
      <c r="A7" s="2" t="s">
        <v>14</v>
      </c>
      <c r="B7" s="3">
        <v>27.5</v>
      </c>
      <c r="C7" s="4">
        <v>3.5</v>
      </c>
      <c r="D7" s="3" t="s">
        <v>13</v>
      </c>
      <c r="E7" s="3" t="s">
        <v>7</v>
      </c>
    </row>
    <row r="8">
      <c r="A8" s="2" t="s">
        <v>15</v>
      </c>
      <c r="B8" s="3">
        <v>23.0</v>
      </c>
      <c r="C8" s="4">
        <v>4.5</v>
      </c>
      <c r="D8" s="3" t="s">
        <v>16</v>
      </c>
      <c r="E8" s="3" t="s">
        <v>7</v>
      </c>
    </row>
    <row r="9">
      <c r="A9" s="2" t="s">
        <v>17</v>
      </c>
      <c r="B9" s="3">
        <v>21.0</v>
      </c>
      <c r="C9" s="4">
        <v>4.5</v>
      </c>
      <c r="D9" s="3" t="s">
        <v>18</v>
      </c>
      <c r="E9" s="3" t="s">
        <v>7</v>
      </c>
    </row>
    <row r="10">
      <c r="A10" s="2" t="s">
        <v>19</v>
      </c>
      <c r="B10" s="3">
        <v>28.0</v>
      </c>
      <c r="C10" s="4">
        <v>3.5</v>
      </c>
      <c r="D10" s="3" t="s">
        <v>13</v>
      </c>
      <c r="E10" s="3" t="s">
        <v>7</v>
      </c>
    </row>
    <row r="12">
      <c r="A12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2:E1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6.0"/>
    <col customWidth="1" min="3" max="3" width="14.0"/>
    <col customWidth="1" min="4" max="4" width="45.0"/>
    <col customWidth="1" min="5" max="5" width="14.0"/>
    <col customWidth="1" min="6" max="26" width="8.71"/>
  </cols>
  <sheetData>
    <row r="2">
      <c r="A2" s="1" t="s">
        <v>0</v>
      </c>
      <c r="B2" s="1" t="s">
        <v>20</v>
      </c>
      <c r="C2" s="1" t="s">
        <v>2</v>
      </c>
      <c r="D2" s="1" t="s">
        <v>3</v>
      </c>
      <c r="E2" s="1" t="s">
        <v>4</v>
      </c>
    </row>
    <row r="3">
      <c r="A3" s="2" t="s">
        <v>5</v>
      </c>
      <c r="B3" s="3">
        <v>17.8</v>
      </c>
      <c r="C3" s="6">
        <f t="shared" ref="C3:C10" si="1">IFERROR(1+4*(MAX(B$3:B$10)-B3)/(MAX(B$3:B$10)-MIN(B$3:B$10)),"")</f>
        <v>4.754189944</v>
      </c>
      <c r="D3" s="3" t="s">
        <v>21</v>
      </c>
      <c r="E3" s="3" t="s">
        <v>7</v>
      </c>
    </row>
    <row r="4">
      <c r="A4" s="2" t="s">
        <v>8</v>
      </c>
      <c r="B4" s="3">
        <v>16.7</v>
      </c>
      <c r="C4" s="6">
        <f t="shared" si="1"/>
        <v>5</v>
      </c>
      <c r="D4" s="3" t="s">
        <v>21</v>
      </c>
      <c r="E4" s="3" t="s">
        <v>7</v>
      </c>
    </row>
    <row r="5">
      <c r="A5" s="2" t="s">
        <v>10</v>
      </c>
      <c r="B5" s="3">
        <v>19.7</v>
      </c>
      <c r="C5" s="6">
        <f t="shared" si="1"/>
        <v>4.329608939</v>
      </c>
      <c r="D5" s="3" t="s">
        <v>21</v>
      </c>
      <c r="E5" s="3" t="s">
        <v>7</v>
      </c>
    </row>
    <row r="6">
      <c r="A6" s="2" t="s">
        <v>12</v>
      </c>
      <c r="B6" s="3">
        <v>23.4</v>
      </c>
      <c r="C6" s="6">
        <f t="shared" si="1"/>
        <v>3.502793296</v>
      </c>
      <c r="D6" s="3" t="s">
        <v>21</v>
      </c>
      <c r="E6" s="3" t="s">
        <v>7</v>
      </c>
    </row>
    <row r="7">
      <c r="A7" s="2" t="s">
        <v>14</v>
      </c>
      <c r="B7" s="3">
        <v>34.6</v>
      </c>
      <c r="C7" s="6">
        <f t="shared" si="1"/>
        <v>1</v>
      </c>
      <c r="D7" s="3" t="s">
        <v>21</v>
      </c>
      <c r="E7" s="3" t="s">
        <v>7</v>
      </c>
    </row>
    <row r="8">
      <c r="A8" s="2" t="s">
        <v>15</v>
      </c>
      <c r="B8" s="3">
        <v>28.4</v>
      </c>
      <c r="C8" s="6">
        <f t="shared" si="1"/>
        <v>2.38547486</v>
      </c>
      <c r="D8" s="3" t="s">
        <v>21</v>
      </c>
      <c r="E8" s="3" t="s">
        <v>7</v>
      </c>
    </row>
    <row r="9">
      <c r="A9" s="2" t="s">
        <v>17</v>
      </c>
      <c r="B9" s="3">
        <v>21.2</v>
      </c>
      <c r="C9" s="6">
        <f t="shared" si="1"/>
        <v>3.994413408</v>
      </c>
      <c r="D9" s="3" t="s">
        <v>21</v>
      </c>
      <c r="E9" s="3" t="s">
        <v>7</v>
      </c>
    </row>
    <row r="10">
      <c r="A10" s="2" t="s">
        <v>19</v>
      </c>
      <c r="B10" s="3">
        <v>28.6</v>
      </c>
      <c r="C10" s="6">
        <f t="shared" si="1"/>
        <v>2.340782123</v>
      </c>
      <c r="D10" s="3" t="s">
        <v>21</v>
      </c>
      <c r="E10" s="3" t="s">
        <v>7</v>
      </c>
    </row>
    <row r="12">
      <c r="A12" s="5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2:E1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20.43"/>
    <col customWidth="1" min="3" max="3" width="14.0"/>
    <col customWidth="1" min="4" max="4" width="45.0"/>
    <col customWidth="1" min="5" max="5" width="14.0"/>
    <col customWidth="1" min="6" max="26" width="8.71"/>
  </cols>
  <sheetData>
    <row r="2">
      <c r="A2" s="1" t="s">
        <v>0</v>
      </c>
      <c r="B2" s="1" t="s">
        <v>23</v>
      </c>
      <c r="C2" s="1" t="s">
        <v>2</v>
      </c>
      <c r="D2" s="1" t="s">
        <v>3</v>
      </c>
      <c r="E2" s="1" t="s">
        <v>4</v>
      </c>
    </row>
    <row r="3">
      <c r="A3" s="2" t="s">
        <v>5</v>
      </c>
      <c r="B3" s="7">
        <v>1975000.0</v>
      </c>
      <c r="C3" s="6">
        <f t="shared" ref="C3:C10" si="1">IFERROR(1+4*(B3-MIN(B$3:B$10))/(MAX(B$3:B$10)-MIN(B$3:B$10)),"")</f>
        <v>2.412844037</v>
      </c>
      <c r="D3" s="8" t="s">
        <v>24</v>
      </c>
      <c r="E3" s="4"/>
    </row>
    <row r="4">
      <c r="A4" s="2" t="s">
        <v>8</v>
      </c>
      <c r="B4" s="7">
        <v>1200000.0</v>
      </c>
      <c r="C4" s="6">
        <f t="shared" si="1"/>
        <v>1.844036697</v>
      </c>
      <c r="D4" s="8" t="s">
        <v>25</v>
      </c>
      <c r="E4" s="4"/>
    </row>
    <row r="5">
      <c r="A5" s="2" t="s">
        <v>10</v>
      </c>
      <c r="B5" s="7">
        <v>300000.0</v>
      </c>
      <c r="C5" s="6">
        <f t="shared" si="1"/>
        <v>1.183486239</v>
      </c>
      <c r="D5" s="8" t="s">
        <v>26</v>
      </c>
      <c r="E5" s="4"/>
    </row>
    <row r="6">
      <c r="A6" s="2" t="s">
        <v>12</v>
      </c>
      <c r="B6" s="7">
        <v>1600000.0</v>
      </c>
      <c r="C6" s="6">
        <f t="shared" si="1"/>
        <v>2.137614679</v>
      </c>
      <c r="D6" s="8" t="s">
        <v>27</v>
      </c>
      <c r="E6" s="4"/>
    </row>
    <row r="7">
      <c r="A7" s="2" t="s">
        <v>14</v>
      </c>
      <c r="B7" s="7">
        <v>5500000.0</v>
      </c>
      <c r="C7" s="6">
        <f t="shared" si="1"/>
        <v>5</v>
      </c>
      <c r="D7" s="9" t="s">
        <v>28</v>
      </c>
      <c r="E7" s="4"/>
    </row>
    <row r="8">
      <c r="A8" s="2" t="s">
        <v>15</v>
      </c>
      <c r="B8" s="7">
        <v>400000.0</v>
      </c>
      <c r="C8" s="6">
        <f t="shared" si="1"/>
        <v>1.256880734</v>
      </c>
      <c r="D8" s="4"/>
      <c r="E8" s="4"/>
    </row>
    <row r="9">
      <c r="A9" s="2" t="s">
        <v>17</v>
      </c>
      <c r="B9" s="7">
        <v>50000.0</v>
      </c>
      <c r="C9" s="6">
        <f t="shared" si="1"/>
        <v>1</v>
      </c>
      <c r="D9" s="4"/>
      <c r="E9" s="4"/>
    </row>
    <row r="10">
      <c r="A10" s="2" t="s">
        <v>19</v>
      </c>
      <c r="B10" s="7">
        <v>72000.0</v>
      </c>
      <c r="C10" s="6">
        <f t="shared" si="1"/>
        <v>1.016146789</v>
      </c>
      <c r="D10" s="4"/>
      <c r="E10" s="4"/>
    </row>
    <row r="12">
      <c r="A12" s="5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2:E12"/>
  </mergeCells>
  <hyperlinks>
    <hyperlink r:id="rId1" ref="D3"/>
    <hyperlink r:id="rId2" ref="D4"/>
    <hyperlink r:id="rId3" ref="D5"/>
    <hyperlink r:id="rId4" ref="D6"/>
    <hyperlink r:id="rId5" ref="D7"/>
  </hyperlinks>
  <printOptions/>
  <pageMargins bottom="1.0" footer="0.0" header="0.0" left="0.75" right="0.75" top="1.0"/>
  <pageSetup paperSize="9" orientation="portrait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6.0"/>
    <col customWidth="1" min="3" max="3" width="14.0"/>
    <col customWidth="1" min="4" max="4" width="45.0"/>
    <col customWidth="1" min="5" max="5" width="14.0"/>
    <col customWidth="1" min="6" max="26" width="8.71"/>
  </cols>
  <sheetData>
    <row r="2">
      <c r="A2" s="1" t="s">
        <v>0</v>
      </c>
      <c r="B2" s="1" t="s">
        <v>30</v>
      </c>
      <c r="C2" s="1" t="s">
        <v>2</v>
      </c>
      <c r="D2" s="1" t="s">
        <v>3</v>
      </c>
      <c r="E2" s="1" t="s">
        <v>4</v>
      </c>
    </row>
    <row r="3">
      <c r="A3" s="2" t="s">
        <v>5</v>
      </c>
      <c r="B3" s="10">
        <v>100000.0</v>
      </c>
      <c r="C3" s="6">
        <f t="shared" ref="C3:C10" si="1">IFERROR(1+4*(MAX(B$3:B$10)-B3)/(MAX(B$3:B$10)-MIN(B$3:B$10)),"")</f>
        <v>3.909090909</v>
      </c>
      <c r="D3" s="8" t="s">
        <v>31</v>
      </c>
      <c r="E3" s="4"/>
    </row>
    <row r="4">
      <c r="A4" s="2" t="s">
        <v>8</v>
      </c>
      <c r="B4" s="10">
        <v>110000.0</v>
      </c>
      <c r="C4" s="6">
        <f t="shared" si="1"/>
        <v>3.545454545</v>
      </c>
      <c r="D4" s="8" t="s">
        <v>32</v>
      </c>
      <c r="E4" s="4"/>
    </row>
    <row r="5">
      <c r="A5" s="2" t="s">
        <v>10</v>
      </c>
      <c r="B5" s="10">
        <v>75000.0</v>
      </c>
      <c r="C5" s="6">
        <f t="shared" si="1"/>
        <v>4.818181818</v>
      </c>
      <c r="D5" s="8" t="s">
        <v>33</v>
      </c>
      <c r="E5" s="4"/>
    </row>
    <row r="6">
      <c r="A6" s="2" t="s">
        <v>12</v>
      </c>
      <c r="B6" s="10">
        <v>70000.0</v>
      </c>
      <c r="C6" s="6">
        <f t="shared" si="1"/>
        <v>5</v>
      </c>
      <c r="D6" s="8" t="s">
        <v>34</v>
      </c>
      <c r="E6" s="4"/>
    </row>
    <row r="7">
      <c r="A7" s="2" t="s">
        <v>14</v>
      </c>
      <c r="B7" s="10">
        <v>180000.0</v>
      </c>
      <c r="C7" s="6">
        <f t="shared" si="1"/>
        <v>1</v>
      </c>
      <c r="D7" s="8" t="s">
        <v>35</v>
      </c>
      <c r="E7" s="4"/>
    </row>
    <row r="8">
      <c r="A8" s="2" t="s">
        <v>15</v>
      </c>
      <c r="B8" s="10">
        <v>94000.0</v>
      </c>
      <c r="C8" s="6">
        <f t="shared" si="1"/>
        <v>4.127272727</v>
      </c>
      <c r="D8" s="8" t="s">
        <v>36</v>
      </c>
      <c r="E8" s="4"/>
    </row>
    <row r="9">
      <c r="A9" s="2" t="s">
        <v>17</v>
      </c>
      <c r="B9" s="10">
        <v>115000.0</v>
      </c>
      <c r="C9" s="6">
        <f t="shared" si="1"/>
        <v>3.363636364</v>
      </c>
      <c r="D9" s="8" t="s">
        <v>37</v>
      </c>
      <c r="E9" s="4"/>
    </row>
    <row r="10">
      <c r="A10" s="2" t="s">
        <v>19</v>
      </c>
      <c r="B10" s="10">
        <v>90000.0</v>
      </c>
      <c r="C10" s="6">
        <f t="shared" si="1"/>
        <v>4.272727273</v>
      </c>
      <c r="D10" s="8" t="s">
        <v>38</v>
      </c>
      <c r="E10" s="4"/>
    </row>
    <row r="12">
      <c r="A12" s="5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2:E12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</hyperlinks>
  <printOptions/>
  <pageMargins bottom="1.0" footer="0.0" header="0.0" left="0.75" right="0.75" top="1.0"/>
  <pageSetup paperSize="9" orientation="portrait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6.0"/>
    <col customWidth="1" min="3" max="3" width="14.0"/>
    <col customWidth="1" min="4" max="4" width="45.0"/>
    <col customWidth="1" min="5" max="5" width="14.0"/>
    <col customWidth="1" min="6" max="26" width="8.71"/>
  </cols>
  <sheetData>
    <row r="2">
      <c r="A2" s="1" t="s">
        <v>0</v>
      </c>
      <c r="B2" s="1" t="s">
        <v>40</v>
      </c>
      <c r="C2" s="1" t="s">
        <v>2</v>
      </c>
      <c r="D2" s="1" t="s">
        <v>3</v>
      </c>
      <c r="E2" s="1" t="s">
        <v>4</v>
      </c>
    </row>
    <row r="3">
      <c r="A3" s="2" t="s">
        <v>5</v>
      </c>
      <c r="B3" s="11">
        <v>25.0</v>
      </c>
      <c r="C3" s="6">
        <f t="shared" ref="C3:C10" si="1">IFERROR(1+4*(MAX(B$3:B$10)-B3)/(MAX(B$3:B$10)-MIN(B$3:B$10)),"")</f>
        <v>1</v>
      </c>
      <c r="D3" s="8" t="s">
        <v>41</v>
      </c>
      <c r="E3" s="4"/>
    </row>
    <row r="4">
      <c r="A4" s="2" t="s">
        <v>8</v>
      </c>
      <c r="B4" s="11">
        <v>6.0</v>
      </c>
      <c r="C4" s="6">
        <f t="shared" si="1"/>
        <v>4.454545455</v>
      </c>
      <c r="D4" s="4"/>
      <c r="E4" s="4"/>
    </row>
    <row r="5">
      <c r="A5" s="2" t="s">
        <v>10</v>
      </c>
      <c r="B5" s="11">
        <v>11.0</v>
      </c>
      <c r="C5" s="6">
        <f t="shared" si="1"/>
        <v>3.545454545</v>
      </c>
      <c r="D5" s="8" t="s">
        <v>42</v>
      </c>
      <c r="E5" s="4"/>
    </row>
    <row r="6">
      <c r="A6" s="2" t="s">
        <v>12</v>
      </c>
      <c r="B6" s="11">
        <v>3.0</v>
      </c>
      <c r="C6" s="6">
        <f t="shared" si="1"/>
        <v>5</v>
      </c>
      <c r="D6" s="8" t="s">
        <v>43</v>
      </c>
      <c r="E6" s="4"/>
    </row>
    <row r="7">
      <c r="A7" s="2" t="s">
        <v>14</v>
      </c>
      <c r="B7" s="11">
        <v>10.0</v>
      </c>
      <c r="C7" s="6">
        <f t="shared" si="1"/>
        <v>3.727272727</v>
      </c>
      <c r="D7" s="8" t="s">
        <v>44</v>
      </c>
      <c r="E7" s="4"/>
    </row>
    <row r="8">
      <c r="A8" s="2" t="s">
        <v>15</v>
      </c>
      <c r="B8" s="11">
        <v>5.0</v>
      </c>
      <c r="C8" s="6">
        <f t="shared" si="1"/>
        <v>4.636363636</v>
      </c>
      <c r="D8" s="8" t="s">
        <v>45</v>
      </c>
      <c r="E8" s="4"/>
    </row>
    <row r="9">
      <c r="A9" s="2" t="s">
        <v>17</v>
      </c>
      <c r="B9" s="11">
        <v>3.0</v>
      </c>
      <c r="C9" s="6">
        <f t="shared" si="1"/>
        <v>5</v>
      </c>
      <c r="D9" s="8" t="s">
        <v>46</v>
      </c>
      <c r="E9" s="4"/>
    </row>
    <row r="10">
      <c r="A10" s="2" t="s">
        <v>19</v>
      </c>
      <c r="B10" s="11">
        <v>7.0</v>
      </c>
      <c r="C10" s="6">
        <f t="shared" si="1"/>
        <v>4.272727273</v>
      </c>
      <c r="D10" s="8" t="s">
        <v>47</v>
      </c>
      <c r="E10" s="4"/>
    </row>
    <row r="12">
      <c r="A12" s="5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2:E12"/>
  </mergeCells>
  <hyperlinks>
    <hyperlink r:id="rId1" ref="D3"/>
    <hyperlink r:id="rId2" ref="D5"/>
    <hyperlink r:id="rId3" ref="D6"/>
    <hyperlink r:id="rId4" ref="D7"/>
    <hyperlink r:id="rId5" ref="D8"/>
    <hyperlink r:id="rId6" ref="D9"/>
    <hyperlink r:id="rId7" ref="D10"/>
  </hyperlinks>
  <printOptions/>
  <pageMargins bottom="1.0" footer="0.0" header="0.0" left="0.75" right="0.75" top="1.0"/>
  <pageSetup paperSize="9" orientation="portrait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6.0"/>
    <col customWidth="1" min="3" max="3" width="14.0"/>
    <col customWidth="1" min="4" max="4" width="45.0"/>
    <col customWidth="1" min="5" max="5" width="14.0"/>
    <col customWidth="1" min="6" max="26" width="8.71"/>
  </cols>
  <sheetData>
    <row r="2">
      <c r="A2" s="1" t="s">
        <v>0</v>
      </c>
      <c r="B2" s="1" t="s">
        <v>49</v>
      </c>
      <c r="C2" s="1" t="s">
        <v>2</v>
      </c>
      <c r="D2" s="1" t="s">
        <v>3</v>
      </c>
      <c r="E2" s="1" t="s">
        <v>4</v>
      </c>
    </row>
    <row r="3">
      <c r="A3" s="2" t="s">
        <v>5</v>
      </c>
      <c r="B3" s="12">
        <v>40000.0</v>
      </c>
      <c r="C3" s="6">
        <f t="shared" ref="C3:C10" si="1">IFERROR(1+4*(B3-MIN(B$3:B$10))/(MAX(B$3:B$10)-MIN(B$3:B$10)),"")</f>
        <v>5</v>
      </c>
      <c r="D3" s="8" t="s">
        <v>50</v>
      </c>
      <c r="E3" s="4"/>
    </row>
    <row r="4">
      <c r="A4" s="2" t="s">
        <v>8</v>
      </c>
      <c r="B4" s="12">
        <v>34000.0</v>
      </c>
      <c r="C4" s="6">
        <f t="shared" si="1"/>
        <v>2.6</v>
      </c>
      <c r="D4" s="8" t="s">
        <v>51</v>
      </c>
      <c r="E4" s="4"/>
    </row>
    <row r="5">
      <c r="A5" s="2" t="s">
        <v>10</v>
      </c>
      <c r="B5" s="12">
        <v>31000.0</v>
      </c>
      <c r="C5" s="6">
        <f t="shared" si="1"/>
        <v>1.4</v>
      </c>
      <c r="D5" s="8" t="s">
        <v>52</v>
      </c>
      <c r="E5" s="4"/>
    </row>
    <row r="6">
      <c r="A6" s="2" t="s">
        <v>12</v>
      </c>
      <c r="B6" s="12">
        <v>34000.0</v>
      </c>
      <c r="C6" s="6">
        <f t="shared" si="1"/>
        <v>2.6</v>
      </c>
      <c r="D6" s="8" t="s">
        <v>53</v>
      </c>
      <c r="E6" s="4"/>
    </row>
    <row r="7">
      <c r="A7" s="2" t="s">
        <v>14</v>
      </c>
      <c r="B7" s="12">
        <v>31000.0</v>
      </c>
      <c r="C7" s="6">
        <f t="shared" si="1"/>
        <v>1.4</v>
      </c>
      <c r="D7" s="8" t="s">
        <v>52</v>
      </c>
      <c r="E7" s="4"/>
    </row>
    <row r="8">
      <c r="A8" s="2" t="s">
        <v>15</v>
      </c>
      <c r="B8" s="12">
        <v>30000.0</v>
      </c>
      <c r="C8" s="6">
        <f t="shared" si="1"/>
        <v>1</v>
      </c>
      <c r="D8" s="8" t="s">
        <v>54</v>
      </c>
      <c r="E8" s="4"/>
    </row>
    <row r="9">
      <c r="A9" s="2" t="s">
        <v>17</v>
      </c>
      <c r="B9" s="12">
        <v>35000.0</v>
      </c>
      <c r="C9" s="6">
        <f t="shared" si="1"/>
        <v>3</v>
      </c>
      <c r="D9" s="9" t="s">
        <v>52</v>
      </c>
      <c r="E9" s="4"/>
    </row>
    <row r="10">
      <c r="A10" s="2" t="s">
        <v>19</v>
      </c>
      <c r="B10" s="12">
        <v>30000.0</v>
      </c>
      <c r="C10" s="6">
        <f t="shared" si="1"/>
        <v>1</v>
      </c>
      <c r="D10" s="8" t="s">
        <v>55</v>
      </c>
      <c r="E10" s="4"/>
    </row>
    <row r="12">
      <c r="A12" s="5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2:E12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</hyperlinks>
  <printOptions/>
  <pageMargins bottom="1.0" footer="0.0" header="0.0" left="0.75" right="0.75" top="1.0"/>
  <pageSetup paperSize="9" orientation="portrait"/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6.0"/>
    <col customWidth="1" min="3" max="3" width="12.0"/>
    <col customWidth="1" min="4" max="4" width="15.0"/>
    <col customWidth="1" min="5" max="5" width="13.0"/>
    <col customWidth="1" min="6" max="6" width="14.0"/>
    <col customWidth="1" min="7" max="8" width="13.0"/>
    <col customWidth="1" min="9" max="9" width="10.0"/>
    <col customWidth="1" min="10" max="26" width="8.71"/>
  </cols>
  <sheetData>
    <row r="2">
      <c r="B2" s="13" t="s">
        <v>57</v>
      </c>
    </row>
    <row r="4">
      <c r="A4" s="1" t="s">
        <v>0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62</v>
      </c>
      <c r="G4" s="1" t="s">
        <v>63</v>
      </c>
      <c r="H4" s="1" t="s">
        <v>64</v>
      </c>
      <c r="I4" s="1" t="s">
        <v>65</v>
      </c>
    </row>
    <row r="5">
      <c r="A5" s="2" t="s">
        <v>5</v>
      </c>
      <c r="B5" s="6">
        <f t="array" ref="B5">IFERROR(INDEX(Consumo_Helado!$C$3:$C$10,MATCH($A5,Consumo_Helado!$A$3:$A$10,0))*0.3,0)</f>
        <v>1.5</v>
      </c>
      <c r="C5" s="6">
        <f t="array" ref="C5">IFERROR(INDEX(Clima!$C$3:$C$10,MATCH($A5,Clima!$A$3:$A$10,0))*0.2,0)</f>
        <v>0.2</v>
      </c>
      <c r="D5" s="6">
        <f t="array" ref="D5">IFERROR(INDEX(Poder_Adquisitivo!$C$3:$C$10,MATCH($A5,Poder_Adquisitivo!$A$3:$A$10,0))*0.2,0)</f>
        <v>0.9508379888</v>
      </c>
      <c r="E5" s="6">
        <f t="array" ref="E5">IFERROR(INDEX(Turismo!$C$3:$C$10,MATCH($A5,Turismo!$A$3:$A$10,0))*0.15,0)</f>
        <v>0.3619266055</v>
      </c>
      <c r="F5" s="6">
        <f t="array" ref="F5">IFERROR(INDEX(Costo_Local!$C$3:$C$10,MATCH($A5,Costo_Local!$A$3:$A$10,0))*0.1,0)</f>
        <v>0.3909090909</v>
      </c>
      <c r="G5" s="6">
        <f t="array" ref="G5">IFERROR(INDEX(Competencia!$C$3:$C$10,MATCH($A5,Competencia!$A$3:$A$10,0))*0.05,0)</f>
        <v>0.05</v>
      </c>
      <c r="H5" s="14">
        <f t="shared" ref="H5:H12" si="1">SUM(B5:G5)</f>
        <v>3.453673685</v>
      </c>
      <c r="I5" s="15">
        <f t="shared" ref="I5:I12" si="2">RANK(H5,$H$5:$H$12)</f>
        <v>2</v>
      </c>
    </row>
    <row r="6">
      <c r="A6" s="2" t="s">
        <v>8</v>
      </c>
      <c r="B6" s="6">
        <f t="array" ref="B6">IFERROR(INDEX(Consumo_Helado!$C$3:$C$10,MATCH($A6,Consumo_Helado!$A$3:$A$10,0))*0.3,0)</f>
        <v>0.78</v>
      </c>
      <c r="C6" s="6">
        <f t="array" ref="C6">IFERROR(INDEX(Clima!$C$3:$C$10,MATCH($A6,Clima!$A$3:$A$10,0))*0.2,0)</f>
        <v>0.9</v>
      </c>
      <c r="D6" s="6">
        <f t="array" ref="D6">IFERROR(INDEX(Poder_Adquisitivo!$C$3:$C$10,MATCH($A6,Poder_Adquisitivo!$A$3:$A$10,0))*0.2,0)</f>
        <v>1</v>
      </c>
      <c r="E6" s="6">
        <f t="array" ref="E6">IFERROR(INDEX(Turismo!$C$3:$C$10,MATCH($A6,Turismo!$A$3:$A$10,0))*0.15,0)</f>
        <v>0.2766055046</v>
      </c>
      <c r="F6" s="6">
        <f t="array" ref="F6">IFERROR(INDEX(Costo_Local!$C$3:$C$10,MATCH($A6,Costo_Local!$A$3:$A$10,0))*0.1,0)</f>
        <v>0.3545454545</v>
      </c>
      <c r="G6" s="6">
        <f t="array" ref="G6">IFERROR(INDEX(Competencia!$C$3:$C$10,MATCH($A6,Competencia!$A$3:$A$10,0))*0.05,0)</f>
        <v>0.2227272727</v>
      </c>
      <c r="H6" s="14">
        <f t="shared" si="1"/>
        <v>3.533878232</v>
      </c>
      <c r="I6" s="15">
        <f t="shared" si="2"/>
        <v>1</v>
      </c>
    </row>
    <row r="7">
      <c r="A7" s="2" t="s">
        <v>10</v>
      </c>
      <c r="B7" s="6">
        <f t="array" ref="B7">IFERROR(INDEX(Consumo_Helado!$C$3:$C$10,MATCH($A7,Consumo_Helado!$A$3:$A$10,0))*0.3,0)</f>
        <v>0.42</v>
      </c>
      <c r="C7" s="6">
        <f t="array" ref="C7">IFERROR(INDEX(Clima!$C$3:$C$10,MATCH($A7,Clima!$A$3:$A$10,0))*0.2,0)</f>
        <v>0.8</v>
      </c>
      <c r="D7" s="6">
        <f t="array" ref="D7">IFERROR(INDEX(Poder_Adquisitivo!$C$3:$C$10,MATCH($A7,Poder_Adquisitivo!$A$3:$A$10,0))*0.2,0)</f>
        <v>0.8659217877</v>
      </c>
      <c r="E7" s="6">
        <f t="array" ref="E7">IFERROR(INDEX(Turismo!$C$3:$C$10,MATCH($A7,Turismo!$A$3:$A$10,0))*0.15,0)</f>
        <v>0.1775229358</v>
      </c>
      <c r="F7" s="6">
        <f t="array" ref="F7">IFERROR(INDEX(Costo_Local!$C$3:$C$10,MATCH($A7,Costo_Local!$A$3:$A$10,0))*0.1,0)</f>
        <v>0.4818181818</v>
      </c>
      <c r="G7" s="6">
        <f t="array" ref="G7">IFERROR(INDEX(Competencia!$C$3:$C$10,MATCH($A7,Competencia!$A$3:$A$10,0))*0.05,0)</f>
        <v>0.1772727273</v>
      </c>
      <c r="H7" s="14">
        <f t="shared" si="1"/>
        <v>2.922535633</v>
      </c>
      <c r="I7" s="15">
        <f t="shared" si="2"/>
        <v>5</v>
      </c>
    </row>
    <row r="8">
      <c r="A8" s="2" t="s">
        <v>12</v>
      </c>
      <c r="B8" s="6">
        <f t="array" ref="B8">IFERROR(INDEX(Consumo_Helado!$C$3:$C$10,MATCH($A8,Consumo_Helado!$A$3:$A$10,0))*0.3,0)</f>
        <v>0.78</v>
      </c>
      <c r="C8" s="6">
        <f t="array" ref="C8">IFERROR(INDEX(Clima!$C$3:$C$10,MATCH($A8,Clima!$A$3:$A$10,0))*0.2,0)</f>
        <v>0.7</v>
      </c>
      <c r="D8" s="6">
        <f t="array" ref="D8">IFERROR(INDEX(Poder_Adquisitivo!$C$3:$C$10,MATCH($A8,Poder_Adquisitivo!$A$3:$A$10,0))*0.2,0)</f>
        <v>0.7005586592</v>
      </c>
      <c r="E8" s="6">
        <f t="array" ref="E8">IFERROR(INDEX(Turismo!$C$3:$C$10,MATCH($A8,Turismo!$A$3:$A$10,0))*0.15,0)</f>
        <v>0.3206422018</v>
      </c>
      <c r="F8" s="6">
        <f t="array" ref="F8">IFERROR(INDEX(Costo_Local!$C$3:$C$10,MATCH($A8,Costo_Local!$A$3:$A$10,0))*0.1,0)</f>
        <v>0.5</v>
      </c>
      <c r="G8" s="6">
        <f t="array" ref="G8">IFERROR(INDEX(Competencia!$C$3:$C$10,MATCH($A8,Competencia!$A$3:$A$10,0))*0.05,0)</f>
        <v>0.25</v>
      </c>
      <c r="H8" s="14">
        <f t="shared" si="1"/>
        <v>3.251200861</v>
      </c>
      <c r="I8" s="15">
        <f t="shared" si="2"/>
        <v>4</v>
      </c>
    </row>
    <row r="9">
      <c r="A9" s="2" t="s">
        <v>14</v>
      </c>
      <c r="B9" s="6">
        <f t="array" ref="B9">IFERROR(INDEX(Consumo_Helado!$C$3:$C$10,MATCH($A9,Consumo_Helado!$A$3:$A$10,0))*0.3,0)</f>
        <v>0.42</v>
      </c>
      <c r="C9" s="6">
        <f t="array" ref="C9">IFERROR(INDEX(Clima!$C$3:$C$10,MATCH($A9,Clima!$A$3:$A$10,0))*0.2,0)</f>
        <v>0.7</v>
      </c>
      <c r="D9" s="6">
        <f t="array" ref="D9">IFERROR(INDEX(Poder_Adquisitivo!$C$3:$C$10,MATCH($A9,Poder_Adquisitivo!$A$3:$A$10,0))*0.2,0)</f>
        <v>0.2</v>
      </c>
      <c r="E9" s="6">
        <f t="array" ref="E9">IFERROR(INDEX(Turismo!$C$3:$C$10,MATCH($A9,Turismo!$A$3:$A$10,0))*0.15,0)</f>
        <v>0.75</v>
      </c>
      <c r="F9" s="6">
        <f t="array" ref="F9">IFERROR(INDEX(Costo_Local!$C$3:$C$10,MATCH($A9,Costo_Local!$A$3:$A$10,0))*0.1,0)</f>
        <v>0.1</v>
      </c>
      <c r="G9" s="6">
        <f t="array" ref="G9">IFERROR(INDEX(Competencia!$C$3:$C$10,MATCH($A9,Competencia!$A$3:$A$10,0))*0.05,0)</f>
        <v>0.1863636364</v>
      </c>
      <c r="H9" s="14">
        <f t="shared" si="1"/>
        <v>2.356363636</v>
      </c>
      <c r="I9" s="15">
        <f t="shared" si="2"/>
        <v>7</v>
      </c>
    </row>
    <row r="10">
      <c r="A10" s="2" t="s">
        <v>15</v>
      </c>
      <c r="B10" s="6">
        <f t="array" ref="B10">IFERROR(INDEX(Consumo_Helado!$C$3:$C$10,MATCH($A10,Consumo_Helado!$A$3:$A$10,0))*0.3,0)</f>
        <v>0.3</v>
      </c>
      <c r="C10" s="6">
        <f t="array" ref="C10">IFERROR(INDEX(Clima!$C$3:$C$10,MATCH($A10,Clima!$A$3:$A$10,0))*0.2,0)</f>
        <v>0.9</v>
      </c>
      <c r="D10" s="6">
        <f t="array" ref="D10">IFERROR(INDEX(Poder_Adquisitivo!$C$3:$C$10,MATCH($A10,Poder_Adquisitivo!$A$3:$A$10,0))*0.2,0)</f>
        <v>0.4770949721</v>
      </c>
      <c r="E10" s="6">
        <f t="array" ref="E10">IFERROR(INDEX(Turismo!$C$3:$C$10,MATCH($A10,Turismo!$A$3:$A$10,0))*0.15,0)</f>
        <v>0.1885321101</v>
      </c>
      <c r="F10" s="6">
        <f t="array" ref="F10">IFERROR(INDEX(Costo_Local!$C$3:$C$10,MATCH($A10,Costo_Local!$A$3:$A$10,0))*0.1,0)</f>
        <v>0.4127272727</v>
      </c>
      <c r="G10" s="6">
        <f t="array" ref="G10">IFERROR(INDEX(Competencia!$C$3:$C$10,MATCH($A10,Competencia!$A$3:$A$10,0))*0.05,0)</f>
        <v>0.2318181818</v>
      </c>
      <c r="H10" s="14">
        <f t="shared" si="1"/>
        <v>2.510172537</v>
      </c>
      <c r="I10" s="15">
        <f t="shared" si="2"/>
        <v>6</v>
      </c>
    </row>
    <row r="11">
      <c r="A11" s="2" t="s">
        <v>17</v>
      </c>
      <c r="B11" s="6">
        <f t="array" ref="B11">IFERROR(INDEX(Consumo_Helado!$C$3:$C$10,MATCH($A11,Consumo_Helado!$A$3:$A$10,0))*0.3,0)</f>
        <v>0.9</v>
      </c>
      <c r="C11" s="6">
        <f t="array" ref="C11">IFERROR(INDEX(Clima!$C$3:$C$10,MATCH($A11,Clima!$A$3:$A$10,0))*0.2,0)</f>
        <v>0.9</v>
      </c>
      <c r="D11" s="6">
        <f t="array" ref="D11">IFERROR(INDEX(Poder_Adquisitivo!$C$3:$C$10,MATCH($A11,Poder_Adquisitivo!$A$3:$A$10,0))*0.2,0)</f>
        <v>0.7988826816</v>
      </c>
      <c r="E11" s="6">
        <f t="array" ref="E11">IFERROR(INDEX(Turismo!$C$3:$C$10,MATCH($A11,Turismo!$A$3:$A$10,0))*0.15,0)</f>
        <v>0.15</v>
      </c>
      <c r="F11" s="6">
        <f t="array" ref="F11">IFERROR(INDEX(Costo_Local!$C$3:$C$10,MATCH($A11,Costo_Local!$A$3:$A$10,0))*0.1,0)</f>
        <v>0.3363636364</v>
      </c>
      <c r="G11" s="6">
        <f t="array" ref="G11">IFERROR(INDEX(Competencia!$C$3:$C$10,MATCH($A11,Competencia!$A$3:$A$10,0))*0.05,0)</f>
        <v>0.25</v>
      </c>
      <c r="H11" s="14">
        <f t="shared" si="1"/>
        <v>3.335246318</v>
      </c>
      <c r="I11" s="15">
        <f t="shared" si="2"/>
        <v>3</v>
      </c>
    </row>
    <row r="12">
      <c r="A12" s="2" t="s">
        <v>19</v>
      </c>
      <c r="B12" s="6">
        <f t="array" ref="B12">IFERROR(INDEX(Consumo_Helado!$C$3:$C$10,MATCH($A12,Consumo_Helado!$A$3:$A$10,0))*0.3,0)</f>
        <v>0.3</v>
      </c>
      <c r="C12" s="6">
        <f t="array" ref="C12">IFERROR(INDEX(Clima!$C$3:$C$10,MATCH($A12,Clima!$A$3:$A$10,0))*0.2,0)</f>
        <v>0.7</v>
      </c>
      <c r="D12" s="6">
        <f t="array" ref="D12">IFERROR(INDEX(Poder_Adquisitivo!$C$3:$C$10,MATCH($A12,Poder_Adquisitivo!$A$3:$A$10,0))*0.2,0)</f>
        <v>0.4681564246</v>
      </c>
      <c r="E12" s="6">
        <f t="array" ref="E12">IFERROR(INDEX(Turismo!$C$3:$C$10,MATCH($A12,Turismo!$A$3:$A$10,0))*0.15,0)</f>
        <v>0.1524220183</v>
      </c>
      <c r="F12" s="6">
        <f t="array" ref="F12">IFERROR(INDEX(Costo_Local!$C$3:$C$10,MATCH($A12,Costo_Local!$A$3:$A$10,0))*0.1,0)</f>
        <v>0.4272727273</v>
      </c>
      <c r="G12" s="6">
        <f t="array" ref="G12">IFERROR(INDEX(Competencia!$C$3:$C$10,MATCH($A12,Competencia!$A$3:$A$10,0))*0.05,0)</f>
        <v>0.2136363636</v>
      </c>
      <c r="H12" s="14">
        <f t="shared" si="1"/>
        <v>2.261487534</v>
      </c>
      <c r="I12" s="15">
        <f t="shared" si="2"/>
        <v>8</v>
      </c>
    </row>
    <row r="14">
      <c r="A14" s="5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4:I14"/>
  </mergeCells>
  <printOptions/>
  <pageMargins bottom="1.0" footer="0.0" header="0.0" left="0.75" right="0.75" top="1.0"/>
  <pageSetup paperSize="9" orientation="portrait"/>
  <drawing r:id="rId1"/>
</worksheet>
</file>